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_Data" sheetId="1" state="visible" r:id="rId3"/>
    <sheet name="Monthly_Revenue" sheetId="2" state="visible" r:id="rId4"/>
    <sheet name="Product_Region_Summary" sheetId="3" state="visible" r:id="rId5"/>
    <sheet name="YoY_Growth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<sst xmlns="http://schemas.openxmlformats.org/spreadsheetml/2006/main" count="2467" uniqueCount="658">
  <si>
    <t xml:space="preserve">SALES FORECASTING — Historical Data (24 Months)</t>
  </si>
  <si>
    <t xml:space="preserve">Record_ID</t>
  </si>
  <si>
    <t xml:space="preserve">Month</t>
  </si>
  <si>
    <t xml:space="preserve">Month_Num</t>
  </si>
  <si>
    <t xml:space="preserve">Product</t>
  </si>
  <si>
    <t xml:space="preserve">Region</t>
  </si>
  <si>
    <t xml:space="preserve">Units_Sold</t>
  </si>
  <si>
    <t xml:space="preserve">Unit_Price_INR</t>
  </si>
  <si>
    <t xml:space="preserve">Revenue_INR</t>
  </si>
  <si>
    <t xml:space="preserve">S0001</t>
  </si>
  <si>
    <t xml:space="preserve">Jan 2023</t>
  </si>
  <si>
    <t xml:space="preserve">Product A</t>
  </si>
  <si>
    <t xml:space="preserve">North</t>
  </si>
  <si>
    <t xml:space="preserve">S0002</t>
  </si>
  <si>
    <t xml:space="preserve">South</t>
  </si>
  <si>
    <t xml:space="preserve">S0003</t>
  </si>
  <si>
    <t xml:space="preserve">East</t>
  </si>
  <si>
    <t xml:space="preserve">S0004</t>
  </si>
  <si>
    <t xml:space="preserve">West</t>
  </si>
  <si>
    <t xml:space="preserve">S0005</t>
  </si>
  <si>
    <t xml:space="preserve">Central</t>
  </si>
  <si>
    <t xml:space="preserve">S0006</t>
  </si>
  <si>
    <t xml:space="preserve">Product B</t>
  </si>
  <si>
    <t xml:space="preserve">S0007</t>
  </si>
  <si>
    <t xml:space="preserve">S0008</t>
  </si>
  <si>
    <t xml:space="preserve">S0009</t>
  </si>
  <si>
    <t xml:space="preserve">S0010</t>
  </si>
  <si>
    <t xml:space="preserve">S0011</t>
  </si>
  <si>
    <t xml:space="preserve">Product C</t>
  </si>
  <si>
    <t xml:space="preserve">S0012</t>
  </si>
  <si>
    <t xml:space="preserve">S0013</t>
  </si>
  <si>
    <t xml:space="preserve">S0014</t>
  </si>
  <si>
    <t xml:space="preserve">S0015</t>
  </si>
  <si>
    <t xml:space="preserve">S0016</t>
  </si>
  <si>
    <t xml:space="preserve">Product D</t>
  </si>
  <si>
    <t xml:space="preserve">S0017</t>
  </si>
  <si>
    <t xml:space="preserve">S0018</t>
  </si>
  <si>
    <t xml:space="preserve">S0019</t>
  </si>
  <si>
    <t xml:space="preserve">S0020</t>
  </si>
  <si>
    <t xml:space="preserve">S0021</t>
  </si>
  <si>
    <t xml:space="preserve">Product E</t>
  </si>
  <si>
    <t xml:space="preserve">S0022</t>
  </si>
  <si>
    <t xml:space="preserve">S0023</t>
  </si>
  <si>
    <t xml:space="preserve">S0024</t>
  </si>
  <si>
    <t xml:space="preserve">S0025</t>
  </si>
  <si>
    <t xml:space="preserve">S0026</t>
  </si>
  <si>
    <t xml:space="preserve">Feb 2023</t>
  </si>
  <si>
    <t xml:space="preserve">S0027</t>
  </si>
  <si>
    <t xml:space="preserve">S0028</t>
  </si>
  <si>
    <t xml:space="preserve">S0029</t>
  </si>
  <si>
    <t xml:space="preserve">S0030</t>
  </si>
  <si>
    <t xml:space="preserve">S0031</t>
  </si>
  <si>
    <t xml:space="preserve">S0032</t>
  </si>
  <si>
    <t xml:space="preserve">S0033</t>
  </si>
  <si>
    <t xml:space="preserve">S0034</t>
  </si>
  <si>
    <t xml:space="preserve">S0035</t>
  </si>
  <si>
    <t xml:space="preserve">S0036</t>
  </si>
  <si>
    <t xml:space="preserve">S0037</t>
  </si>
  <si>
    <t xml:space="preserve">S0038</t>
  </si>
  <si>
    <t xml:space="preserve">S0039</t>
  </si>
  <si>
    <t xml:space="preserve">S0040</t>
  </si>
  <si>
    <t xml:space="preserve">S0041</t>
  </si>
  <si>
    <t xml:space="preserve">S0042</t>
  </si>
  <si>
    <t xml:space="preserve">S0043</t>
  </si>
  <si>
    <t xml:space="preserve">S0044</t>
  </si>
  <si>
    <t xml:space="preserve">S0045</t>
  </si>
  <si>
    <t xml:space="preserve">S0046</t>
  </si>
  <si>
    <t xml:space="preserve">S0047</t>
  </si>
  <si>
    <t xml:space="preserve">S0048</t>
  </si>
  <si>
    <t xml:space="preserve">S0049</t>
  </si>
  <si>
    <t xml:space="preserve">S0050</t>
  </si>
  <si>
    <t xml:space="preserve">S0051</t>
  </si>
  <si>
    <t xml:space="preserve">Mar 2023</t>
  </si>
  <si>
    <t xml:space="preserve">S0052</t>
  </si>
  <si>
    <t xml:space="preserve">S0053</t>
  </si>
  <si>
    <t xml:space="preserve">S0054</t>
  </si>
  <si>
    <t xml:space="preserve">S0055</t>
  </si>
  <si>
    <t xml:space="preserve">S0056</t>
  </si>
  <si>
    <t xml:space="preserve">S0057</t>
  </si>
  <si>
    <t xml:space="preserve">S0058</t>
  </si>
  <si>
    <t xml:space="preserve">S0059</t>
  </si>
  <si>
    <t xml:space="preserve">S0060</t>
  </si>
  <si>
    <t xml:space="preserve">S0061</t>
  </si>
  <si>
    <t xml:space="preserve">S0062</t>
  </si>
  <si>
    <t xml:space="preserve">S0063</t>
  </si>
  <si>
    <t xml:space="preserve">S0064</t>
  </si>
  <si>
    <t xml:space="preserve">S0065</t>
  </si>
  <si>
    <t xml:space="preserve">S0066</t>
  </si>
  <si>
    <t xml:space="preserve">S0067</t>
  </si>
  <si>
    <t xml:space="preserve">S0068</t>
  </si>
  <si>
    <t xml:space="preserve">S0069</t>
  </si>
  <si>
    <t xml:space="preserve">S0070</t>
  </si>
  <si>
    <t xml:space="preserve">S0071</t>
  </si>
  <si>
    <t xml:space="preserve">S0072</t>
  </si>
  <si>
    <t xml:space="preserve">S0073</t>
  </si>
  <si>
    <t xml:space="preserve">S0074</t>
  </si>
  <si>
    <t xml:space="preserve">S0075</t>
  </si>
  <si>
    <t xml:space="preserve">S0076</t>
  </si>
  <si>
    <t xml:space="preserve">Apr 2023</t>
  </si>
  <si>
    <t xml:space="preserve">S0077</t>
  </si>
  <si>
    <t xml:space="preserve">S0078</t>
  </si>
  <si>
    <t xml:space="preserve">S0079</t>
  </si>
  <si>
    <t xml:space="preserve">S0080</t>
  </si>
  <si>
    <t xml:space="preserve">S0081</t>
  </si>
  <si>
    <t xml:space="preserve">S0082</t>
  </si>
  <si>
    <t xml:space="preserve">S0083</t>
  </si>
  <si>
    <t xml:space="preserve">S0084</t>
  </si>
  <si>
    <t xml:space="preserve">S0085</t>
  </si>
  <si>
    <t xml:space="preserve">S0086</t>
  </si>
  <si>
    <t xml:space="preserve">S0087</t>
  </si>
  <si>
    <t xml:space="preserve">S0088</t>
  </si>
  <si>
    <t xml:space="preserve">S0089</t>
  </si>
  <si>
    <t xml:space="preserve">S0090</t>
  </si>
  <si>
    <t xml:space="preserve">S0091</t>
  </si>
  <si>
    <t xml:space="preserve">S0092</t>
  </si>
  <si>
    <t xml:space="preserve">S0093</t>
  </si>
  <si>
    <t xml:space="preserve">S0094</t>
  </si>
  <si>
    <t xml:space="preserve">S0095</t>
  </si>
  <si>
    <t xml:space="preserve">S0096</t>
  </si>
  <si>
    <t xml:space="preserve">S0097</t>
  </si>
  <si>
    <t xml:space="preserve">S0098</t>
  </si>
  <si>
    <t xml:space="preserve">S0099</t>
  </si>
  <si>
    <t xml:space="preserve">S0100</t>
  </si>
  <si>
    <t xml:space="preserve">S0101</t>
  </si>
  <si>
    <t xml:space="preserve">May 2023</t>
  </si>
  <si>
    <t xml:space="preserve">S0102</t>
  </si>
  <si>
    <t xml:space="preserve">S0103</t>
  </si>
  <si>
    <t xml:space="preserve">S0104</t>
  </si>
  <si>
    <t xml:space="preserve">S0105</t>
  </si>
  <si>
    <t xml:space="preserve">S0106</t>
  </si>
  <si>
    <t xml:space="preserve">S0107</t>
  </si>
  <si>
    <t xml:space="preserve">S0108</t>
  </si>
  <si>
    <t xml:space="preserve">S0109</t>
  </si>
  <si>
    <t xml:space="preserve">S0110</t>
  </si>
  <si>
    <t xml:space="preserve">S0111</t>
  </si>
  <si>
    <t xml:space="preserve">S0112</t>
  </si>
  <si>
    <t xml:space="preserve">S0113</t>
  </si>
  <si>
    <t xml:space="preserve">S0114</t>
  </si>
  <si>
    <t xml:space="preserve">S0115</t>
  </si>
  <si>
    <t xml:space="preserve">S0116</t>
  </si>
  <si>
    <t xml:space="preserve">S0117</t>
  </si>
  <si>
    <t xml:space="preserve">S0118</t>
  </si>
  <si>
    <t xml:space="preserve">S0119</t>
  </si>
  <si>
    <t xml:space="preserve">S0120</t>
  </si>
  <si>
    <t xml:space="preserve">S0121</t>
  </si>
  <si>
    <t xml:space="preserve">S0122</t>
  </si>
  <si>
    <t xml:space="preserve">S0123</t>
  </si>
  <si>
    <t xml:space="preserve">S0124</t>
  </si>
  <si>
    <t xml:space="preserve">S0125</t>
  </si>
  <si>
    <t xml:space="preserve">S0126</t>
  </si>
  <si>
    <t xml:space="preserve">Jun 2023</t>
  </si>
  <si>
    <t xml:space="preserve">S0127</t>
  </si>
  <si>
    <t xml:space="preserve">S0128</t>
  </si>
  <si>
    <t xml:space="preserve">S0129</t>
  </si>
  <si>
    <t xml:space="preserve">S0130</t>
  </si>
  <si>
    <t xml:space="preserve">S0131</t>
  </si>
  <si>
    <t xml:space="preserve">S0132</t>
  </si>
  <si>
    <t xml:space="preserve">S0133</t>
  </si>
  <si>
    <t xml:space="preserve">S0134</t>
  </si>
  <si>
    <t xml:space="preserve">S0135</t>
  </si>
  <si>
    <t xml:space="preserve">S0136</t>
  </si>
  <si>
    <t xml:space="preserve">S0137</t>
  </si>
  <si>
    <t xml:space="preserve">S0138</t>
  </si>
  <si>
    <t xml:space="preserve">S0139</t>
  </si>
  <si>
    <t xml:space="preserve">S0140</t>
  </si>
  <si>
    <t xml:space="preserve">S0141</t>
  </si>
  <si>
    <t xml:space="preserve">S0142</t>
  </si>
  <si>
    <t xml:space="preserve">S0143</t>
  </si>
  <si>
    <t xml:space="preserve">S0144</t>
  </si>
  <si>
    <t xml:space="preserve">S0145</t>
  </si>
  <si>
    <t xml:space="preserve">S0146</t>
  </si>
  <si>
    <t xml:space="preserve">S0147</t>
  </si>
  <si>
    <t xml:space="preserve">S0148</t>
  </si>
  <si>
    <t xml:space="preserve">S0149</t>
  </si>
  <si>
    <t xml:space="preserve">S0150</t>
  </si>
  <si>
    <t xml:space="preserve">S0151</t>
  </si>
  <si>
    <t xml:space="preserve">Jul 2023</t>
  </si>
  <si>
    <t xml:space="preserve">S0152</t>
  </si>
  <si>
    <t xml:space="preserve">S0153</t>
  </si>
  <si>
    <t xml:space="preserve">S0154</t>
  </si>
  <si>
    <t xml:space="preserve">S0155</t>
  </si>
  <si>
    <t xml:space="preserve">S0156</t>
  </si>
  <si>
    <t xml:space="preserve">S0157</t>
  </si>
  <si>
    <t xml:space="preserve">S0158</t>
  </si>
  <si>
    <t xml:space="preserve">S0159</t>
  </si>
  <si>
    <t xml:space="preserve">S0160</t>
  </si>
  <si>
    <t xml:space="preserve">S0161</t>
  </si>
  <si>
    <t xml:space="preserve">S0162</t>
  </si>
  <si>
    <t xml:space="preserve">S0163</t>
  </si>
  <si>
    <t xml:space="preserve">S0164</t>
  </si>
  <si>
    <t xml:space="preserve">S0165</t>
  </si>
  <si>
    <t xml:space="preserve">S0166</t>
  </si>
  <si>
    <t xml:space="preserve">S0167</t>
  </si>
  <si>
    <t xml:space="preserve">S0168</t>
  </si>
  <si>
    <t xml:space="preserve">S0169</t>
  </si>
  <si>
    <t xml:space="preserve">S0170</t>
  </si>
  <si>
    <t xml:space="preserve">S0171</t>
  </si>
  <si>
    <t xml:space="preserve">S0172</t>
  </si>
  <si>
    <t xml:space="preserve">S0173</t>
  </si>
  <si>
    <t xml:space="preserve">S0174</t>
  </si>
  <si>
    <t xml:space="preserve">S0175</t>
  </si>
  <si>
    <t xml:space="preserve">S0176</t>
  </si>
  <si>
    <t xml:space="preserve">Aug 2023</t>
  </si>
  <si>
    <t xml:space="preserve">S0177</t>
  </si>
  <si>
    <t xml:space="preserve">S0178</t>
  </si>
  <si>
    <t xml:space="preserve">S0179</t>
  </si>
  <si>
    <t xml:space="preserve">S0180</t>
  </si>
  <si>
    <t xml:space="preserve">S0181</t>
  </si>
  <si>
    <t xml:space="preserve">S0182</t>
  </si>
  <si>
    <t xml:space="preserve">S0183</t>
  </si>
  <si>
    <t xml:space="preserve">S0184</t>
  </si>
  <si>
    <t xml:space="preserve">S0185</t>
  </si>
  <si>
    <t xml:space="preserve">S0186</t>
  </si>
  <si>
    <t xml:space="preserve">S0187</t>
  </si>
  <si>
    <t xml:space="preserve">S0188</t>
  </si>
  <si>
    <t xml:space="preserve">S0189</t>
  </si>
  <si>
    <t xml:space="preserve">S0190</t>
  </si>
  <si>
    <t xml:space="preserve">S0191</t>
  </si>
  <si>
    <t xml:space="preserve">S0192</t>
  </si>
  <si>
    <t xml:space="preserve">S0193</t>
  </si>
  <si>
    <t xml:space="preserve">S0194</t>
  </si>
  <si>
    <t xml:space="preserve">S0195</t>
  </si>
  <si>
    <t xml:space="preserve">S0196</t>
  </si>
  <si>
    <t xml:space="preserve">S0197</t>
  </si>
  <si>
    <t xml:space="preserve">S0198</t>
  </si>
  <si>
    <t xml:space="preserve">S0199</t>
  </si>
  <si>
    <t xml:space="preserve">S0200</t>
  </si>
  <si>
    <t xml:space="preserve">S0201</t>
  </si>
  <si>
    <t xml:space="preserve">Sep 2023</t>
  </si>
  <si>
    <t xml:space="preserve">S0202</t>
  </si>
  <si>
    <t xml:space="preserve">S0203</t>
  </si>
  <si>
    <t xml:space="preserve">S0204</t>
  </si>
  <si>
    <t xml:space="preserve">S0205</t>
  </si>
  <si>
    <t xml:space="preserve">S0206</t>
  </si>
  <si>
    <t xml:space="preserve">S0207</t>
  </si>
  <si>
    <t xml:space="preserve">S0208</t>
  </si>
  <si>
    <t xml:space="preserve">S0209</t>
  </si>
  <si>
    <t xml:space="preserve">S0210</t>
  </si>
  <si>
    <t xml:space="preserve">S0211</t>
  </si>
  <si>
    <t xml:space="preserve">S0212</t>
  </si>
  <si>
    <t xml:space="preserve">S0213</t>
  </si>
  <si>
    <t xml:space="preserve">S0214</t>
  </si>
  <si>
    <t xml:space="preserve">S0215</t>
  </si>
  <si>
    <t xml:space="preserve">S0216</t>
  </si>
  <si>
    <t xml:space="preserve">S0217</t>
  </si>
  <si>
    <t xml:space="preserve">S0218</t>
  </si>
  <si>
    <t xml:space="preserve">S0219</t>
  </si>
  <si>
    <t xml:space="preserve">S0220</t>
  </si>
  <si>
    <t xml:space="preserve">S0221</t>
  </si>
  <si>
    <t xml:space="preserve">S0222</t>
  </si>
  <si>
    <t xml:space="preserve">S0223</t>
  </si>
  <si>
    <t xml:space="preserve">S0224</t>
  </si>
  <si>
    <t xml:space="preserve">S0225</t>
  </si>
  <si>
    <t xml:space="preserve">S0226</t>
  </si>
  <si>
    <t xml:space="preserve">Oct 2023</t>
  </si>
  <si>
    <t xml:space="preserve">S0227</t>
  </si>
  <si>
    <t xml:space="preserve">S0228</t>
  </si>
  <si>
    <t xml:space="preserve">S0229</t>
  </si>
  <si>
    <t xml:space="preserve">S0230</t>
  </si>
  <si>
    <t xml:space="preserve">S0231</t>
  </si>
  <si>
    <t xml:space="preserve">S0232</t>
  </si>
  <si>
    <t xml:space="preserve">S0233</t>
  </si>
  <si>
    <t xml:space="preserve">S0234</t>
  </si>
  <si>
    <t xml:space="preserve">S0235</t>
  </si>
  <si>
    <t xml:space="preserve">S0236</t>
  </si>
  <si>
    <t xml:space="preserve">S0237</t>
  </si>
  <si>
    <t xml:space="preserve">S0238</t>
  </si>
  <si>
    <t xml:space="preserve">S0239</t>
  </si>
  <si>
    <t xml:space="preserve">S0240</t>
  </si>
  <si>
    <t xml:space="preserve">S0241</t>
  </si>
  <si>
    <t xml:space="preserve">S0242</t>
  </si>
  <si>
    <t xml:space="preserve">S0243</t>
  </si>
  <si>
    <t xml:space="preserve">S0244</t>
  </si>
  <si>
    <t xml:space="preserve">S0245</t>
  </si>
  <si>
    <t xml:space="preserve">S0246</t>
  </si>
  <si>
    <t xml:space="preserve">S0247</t>
  </si>
  <si>
    <t xml:space="preserve">S0248</t>
  </si>
  <si>
    <t xml:space="preserve">S0249</t>
  </si>
  <si>
    <t xml:space="preserve">S0250</t>
  </si>
  <si>
    <t xml:space="preserve">S0251</t>
  </si>
  <si>
    <t xml:space="preserve">Nov 2023</t>
  </si>
  <si>
    <t xml:space="preserve">S0252</t>
  </si>
  <si>
    <t xml:space="preserve">S0253</t>
  </si>
  <si>
    <t xml:space="preserve">S0254</t>
  </si>
  <si>
    <t xml:space="preserve">S0255</t>
  </si>
  <si>
    <t xml:space="preserve">S0256</t>
  </si>
  <si>
    <t xml:space="preserve">S0257</t>
  </si>
  <si>
    <t xml:space="preserve">S0258</t>
  </si>
  <si>
    <t xml:space="preserve">S0259</t>
  </si>
  <si>
    <t xml:space="preserve">S0260</t>
  </si>
  <si>
    <t xml:space="preserve">S0261</t>
  </si>
  <si>
    <t xml:space="preserve">S0262</t>
  </si>
  <si>
    <t xml:space="preserve">S0263</t>
  </si>
  <si>
    <t xml:space="preserve">S0264</t>
  </si>
  <si>
    <t xml:space="preserve">S0265</t>
  </si>
  <si>
    <t xml:space="preserve">S0266</t>
  </si>
  <si>
    <t xml:space="preserve">S0267</t>
  </si>
  <si>
    <t xml:space="preserve">S0268</t>
  </si>
  <si>
    <t xml:space="preserve">S0269</t>
  </si>
  <si>
    <t xml:space="preserve">S0270</t>
  </si>
  <si>
    <t xml:space="preserve">S0271</t>
  </si>
  <si>
    <t xml:space="preserve">S0272</t>
  </si>
  <si>
    <t xml:space="preserve">S0273</t>
  </si>
  <si>
    <t xml:space="preserve">S0274</t>
  </si>
  <si>
    <t xml:space="preserve">S0275</t>
  </si>
  <si>
    <t xml:space="preserve">S0276</t>
  </si>
  <si>
    <t xml:space="preserve">Dec 2023</t>
  </si>
  <si>
    <t xml:space="preserve">S0277</t>
  </si>
  <si>
    <t xml:space="preserve">S0278</t>
  </si>
  <si>
    <t xml:space="preserve">S0279</t>
  </si>
  <si>
    <t xml:space="preserve">S0280</t>
  </si>
  <si>
    <t xml:space="preserve">S0281</t>
  </si>
  <si>
    <t xml:space="preserve">S0282</t>
  </si>
  <si>
    <t xml:space="preserve">S0283</t>
  </si>
  <si>
    <t xml:space="preserve">S0284</t>
  </si>
  <si>
    <t xml:space="preserve">S0285</t>
  </si>
  <si>
    <t xml:space="preserve">S0286</t>
  </si>
  <si>
    <t xml:space="preserve">S0287</t>
  </si>
  <si>
    <t xml:space="preserve">S0288</t>
  </si>
  <si>
    <t xml:space="preserve">S0289</t>
  </si>
  <si>
    <t xml:space="preserve">S0290</t>
  </si>
  <si>
    <t xml:space="preserve">S0291</t>
  </si>
  <si>
    <t xml:space="preserve">S0292</t>
  </si>
  <si>
    <t xml:space="preserve">S0293</t>
  </si>
  <si>
    <t xml:space="preserve">S0294</t>
  </si>
  <si>
    <t xml:space="preserve">S0295</t>
  </si>
  <si>
    <t xml:space="preserve">S0296</t>
  </si>
  <si>
    <t xml:space="preserve">S0297</t>
  </si>
  <si>
    <t xml:space="preserve">S0298</t>
  </si>
  <si>
    <t xml:space="preserve">S0299</t>
  </si>
  <si>
    <t xml:space="preserve">S0300</t>
  </si>
  <si>
    <t xml:space="preserve">S0301</t>
  </si>
  <si>
    <t xml:space="preserve">Jan 2024</t>
  </si>
  <si>
    <t xml:space="preserve">S0302</t>
  </si>
  <si>
    <t xml:space="preserve">S0303</t>
  </si>
  <si>
    <t xml:space="preserve">S0304</t>
  </si>
  <si>
    <t xml:space="preserve">S0305</t>
  </si>
  <si>
    <t xml:space="preserve">S0306</t>
  </si>
  <si>
    <t xml:space="preserve">S0307</t>
  </si>
  <si>
    <t xml:space="preserve">S0308</t>
  </si>
  <si>
    <t xml:space="preserve">S0309</t>
  </si>
  <si>
    <t xml:space="preserve">S0310</t>
  </si>
  <si>
    <t xml:space="preserve">S0311</t>
  </si>
  <si>
    <t xml:space="preserve">S0312</t>
  </si>
  <si>
    <t xml:space="preserve">S0313</t>
  </si>
  <si>
    <t xml:space="preserve">S0314</t>
  </si>
  <si>
    <t xml:space="preserve">S0315</t>
  </si>
  <si>
    <t xml:space="preserve">S0316</t>
  </si>
  <si>
    <t xml:space="preserve">S0317</t>
  </si>
  <si>
    <t xml:space="preserve">S0318</t>
  </si>
  <si>
    <t xml:space="preserve">S0319</t>
  </si>
  <si>
    <t xml:space="preserve">S0320</t>
  </si>
  <si>
    <t xml:space="preserve">S0321</t>
  </si>
  <si>
    <t xml:space="preserve">S0322</t>
  </si>
  <si>
    <t xml:space="preserve">S0323</t>
  </si>
  <si>
    <t xml:space="preserve">S0324</t>
  </si>
  <si>
    <t xml:space="preserve">S0325</t>
  </si>
  <si>
    <t xml:space="preserve">S0326</t>
  </si>
  <si>
    <t xml:space="preserve">Feb 2024</t>
  </si>
  <si>
    <t xml:space="preserve">S0327</t>
  </si>
  <si>
    <t xml:space="preserve">S0328</t>
  </si>
  <si>
    <t xml:space="preserve">S0329</t>
  </si>
  <si>
    <t xml:space="preserve">S0330</t>
  </si>
  <si>
    <t xml:space="preserve">S0331</t>
  </si>
  <si>
    <t xml:space="preserve">S0332</t>
  </si>
  <si>
    <t xml:space="preserve">S0333</t>
  </si>
  <si>
    <t xml:space="preserve">S0334</t>
  </si>
  <si>
    <t xml:space="preserve">S0335</t>
  </si>
  <si>
    <t xml:space="preserve">S0336</t>
  </si>
  <si>
    <t xml:space="preserve">S0337</t>
  </si>
  <si>
    <t xml:space="preserve">S0338</t>
  </si>
  <si>
    <t xml:space="preserve">S0339</t>
  </si>
  <si>
    <t xml:space="preserve">S0340</t>
  </si>
  <si>
    <t xml:space="preserve">S0341</t>
  </si>
  <si>
    <t xml:space="preserve">S0342</t>
  </si>
  <si>
    <t xml:space="preserve">S0343</t>
  </si>
  <si>
    <t xml:space="preserve">S0344</t>
  </si>
  <si>
    <t xml:space="preserve">S0345</t>
  </si>
  <si>
    <t xml:space="preserve">S0346</t>
  </si>
  <si>
    <t xml:space="preserve">S0347</t>
  </si>
  <si>
    <t xml:space="preserve">S0348</t>
  </si>
  <si>
    <t xml:space="preserve">S0349</t>
  </si>
  <si>
    <t xml:space="preserve">S0350</t>
  </si>
  <si>
    <t xml:space="preserve">S0351</t>
  </si>
  <si>
    <t xml:space="preserve">Mar 2024</t>
  </si>
  <si>
    <t xml:space="preserve">S0352</t>
  </si>
  <si>
    <t xml:space="preserve">S0353</t>
  </si>
  <si>
    <t xml:space="preserve">S0354</t>
  </si>
  <si>
    <t xml:space="preserve">S0355</t>
  </si>
  <si>
    <t xml:space="preserve">S0356</t>
  </si>
  <si>
    <t xml:space="preserve">S0357</t>
  </si>
  <si>
    <t xml:space="preserve">S0358</t>
  </si>
  <si>
    <t xml:space="preserve">S0359</t>
  </si>
  <si>
    <t xml:space="preserve">S0360</t>
  </si>
  <si>
    <t xml:space="preserve">S0361</t>
  </si>
  <si>
    <t xml:space="preserve">S0362</t>
  </si>
  <si>
    <t xml:space="preserve">S0363</t>
  </si>
  <si>
    <t xml:space="preserve">S0364</t>
  </si>
  <si>
    <t xml:space="preserve">S0365</t>
  </si>
  <si>
    <t xml:space="preserve">S0366</t>
  </si>
  <si>
    <t xml:space="preserve">S0367</t>
  </si>
  <si>
    <t xml:space="preserve">S0368</t>
  </si>
  <si>
    <t xml:space="preserve">S0369</t>
  </si>
  <si>
    <t xml:space="preserve">S0370</t>
  </si>
  <si>
    <t xml:space="preserve">S0371</t>
  </si>
  <si>
    <t xml:space="preserve">S0372</t>
  </si>
  <si>
    <t xml:space="preserve">S0373</t>
  </si>
  <si>
    <t xml:space="preserve">S0374</t>
  </si>
  <si>
    <t xml:space="preserve">S0375</t>
  </si>
  <si>
    <t xml:space="preserve">S0376</t>
  </si>
  <si>
    <t xml:space="preserve">Apr 2024</t>
  </si>
  <si>
    <t xml:space="preserve">S0377</t>
  </si>
  <si>
    <t xml:space="preserve">S0378</t>
  </si>
  <si>
    <t xml:space="preserve">S0379</t>
  </si>
  <si>
    <t xml:space="preserve">S0380</t>
  </si>
  <si>
    <t xml:space="preserve">S0381</t>
  </si>
  <si>
    <t xml:space="preserve">S0382</t>
  </si>
  <si>
    <t xml:space="preserve">S0383</t>
  </si>
  <si>
    <t xml:space="preserve">S0384</t>
  </si>
  <si>
    <t xml:space="preserve">S0385</t>
  </si>
  <si>
    <t xml:space="preserve">S0386</t>
  </si>
  <si>
    <t xml:space="preserve">S0387</t>
  </si>
  <si>
    <t xml:space="preserve">S0388</t>
  </si>
  <si>
    <t xml:space="preserve">S0389</t>
  </si>
  <si>
    <t xml:space="preserve">S0390</t>
  </si>
  <si>
    <t xml:space="preserve">S0391</t>
  </si>
  <si>
    <t xml:space="preserve">S0392</t>
  </si>
  <si>
    <t xml:space="preserve">S0393</t>
  </si>
  <si>
    <t xml:space="preserve">S0394</t>
  </si>
  <si>
    <t xml:space="preserve">S0395</t>
  </si>
  <si>
    <t xml:space="preserve">S0396</t>
  </si>
  <si>
    <t xml:space="preserve">S0397</t>
  </si>
  <si>
    <t xml:space="preserve">S0398</t>
  </si>
  <si>
    <t xml:space="preserve">S0399</t>
  </si>
  <si>
    <t xml:space="preserve">S0400</t>
  </si>
  <si>
    <t xml:space="preserve">S0401</t>
  </si>
  <si>
    <t xml:space="preserve">May 2024</t>
  </si>
  <si>
    <t xml:space="preserve">S0402</t>
  </si>
  <si>
    <t xml:space="preserve">S0403</t>
  </si>
  <si>
    <t xml:space="preserve">S0404</t>
  </si>
  <si>
    <t xml:space="preserve">S0405</t>
  </si>
  <si>
    <t xml:space="preserve">S0406</t>
  </si>
  <si>
    <t xml:space="preserve">S0407</t>
  </si>
  <si>
    <t xml:space="preserve">S0408</t>
  </si>
  <si>
    <t xml:space="preserve">S0409</t>
  </si>
  <si>
    <t xml:space="preserve">S0410</t>
  </si>
  <si>
    <t xml:space="preserve">S0411</t>
  </si>
  <si>
    <t xml:space="preserve">S0412</t>
  </si>
  <si>
    <t xml:space="preserve">S0413</t>
  </si>
  <si>
    <t xml:space="preserve">S0414</t>
  </si>
  <si>
    <t xml:space="preserve">S0415</t>
  </si>
  <si>
    <t xml:space="preserve">S0416</t>
  </si>
  <si>
    <t xml:space="preserve">S0417</t>
  </si>
  <si>
    <t xml:space="preserve">S0418</t>
  </si>
  <si>
    <t xml:space="preserve">S0419</t>
  </si>
  <si>
    <t xml:space="preserve">S0420</t>
  </si>
  <si>
    <t xml:space="preserve">S0421</t>
  </si>
  <si>
    <t xml:space="preserve">S0422</t>
  </si>
  <si>
    <t xml:space="preserve">S0423</t>
  </si>
  <si>
    <t xml:space="preserve">S0424</t>
  </si>
  <si>
    <t xml:space="preserve">S0425</t>
  </si>
  <si>
    <t xml:space="preserve">S0426</t>
  </si>
  <si>
    <t xml:space="preserve">Jun 2024</t>
  </si>
  <si>
    <t xml:space="preserve">S0427</t>
  </si>
  <si>
    <t xml:space="preserve">S0428</t>
  </si>
  <si>
    <t xml:space="preserve">S0429</t>
  </si>
  <si>
    <t xml:space="preserve">S0430</t>
  </si>
  <si>
    <t xml:space="preserve">S0431</t>
  </si>
  <si>
    <t xml:space="preserve">S0432</t>
  </si>
  <si>
    <t xml:space="preserve">S0433</t>
  </si>
  <si>
    <t xml:space="preserve">S0434</t>
  </si>
  <si>
    <t xml:space="preserve">S0435</t>
  </si>
  <si>
    <t xml:space="preserve">S0436</t>
  </si>
  <si>
    <t xml:space="preserve">S0437</t>
  </si>
  <si>
    <t xml:space="preserve">S0438</t>
  </si>
  <si>
    <t xml:space="preserve">S0439</t>
  </si>
  <si>
    <t xml:space="preserve">S0440</t>
  </si>
  <si>
    <t xml:space="preserve">S0441</t>
  </si>
  <si>
    <t xml:space="preserve">S0442</t>
  </si>
  <si>
    <t xml:space="preserve">S0443</t>
  </si>
  <si>
    <t xml:space="preserve">S0444</t>
  </si>
  <si>
    <t xml:space="preserve">S0445</t>
  </si>
  <si>
    <t xml:space="preserve">S0446</t>
  </si>
  <si>
    <t xml:space="preserve">S0447</t>
  </si>
  <si>
    <t xml:space="preserve">S0448</t>
  </si>
  <si>
    <t xml:space="preserve">S0449</t>
  </si>
  <si>
    <t xml:space="preserve">S0450</t>
  </si>
  <si>
    <t xml:space="preserve">S0451</t>
  </si>
  <si>
    <t xml:space="preserve">Jul 2024</t>
  </si>
  <si>
    <t xml:space="preserve">S0452</t>
  </si>
  <si>
    <t xml:space="preserve">S0453</t>
  </si>
  <si>
    <t xml:space="preserve">S0454</t>
  </si>
  <si>
    <t xml:space="preserve">S0455</t>
  </si>
  <si>
    <t xml:space="preserve">S0456</t>
  </si>
  <si>
    <t xml:space="preserve">S0457</t>
  </si>
  <si>
    <t xml:space="preserve">S0458</t>
  </si>
  <si>
    <t xml:space="preserve">S0459</t>
  </si>
  <si>
    <t xml:space="preserve">S0460</t>
  </si>
  <si>
    <t xml:space="preserve">S0461</t>
  </si>
  <si>
    <t xml:space="preserve">S0462</t>
  </si>
  <si>
    <t xml:space="preserve">S0463</t>
  </si>
  <si>
    <t xml:space="preserve">S0464</t>
  </si>
  <si>
    <t xml:space="preserve">S0465</t>
  </si>
  <si>
    <t xml:space="preserve">S0466</t>
  </si>
  <si>
    <t xml:space="preserve">S0467</t>
  </si>
  <si>
    <t xml:space="preserve">S0468</t>
  </si>
  <si>
    <t xml:space="preserve">S0469</t>
  </si>
  <si>
    <t xml:space="preserve">S0470</t>
  </si>
  <si>
    <t xml:space="preserve">S0471</t>
  </si>
  <si>
    <t xml:space="preserve">S0472</t>
  </si>
  <si>
    <t xml:space="preserve">S0473</t>
  </si>
  <si>
    <t xml:space="preserve">S0474</t>
  </si>
  <si>
    <t xml:space="preserve">S0475</t>
  </si>
  <si>
    <t xml:space="preserve">S0476</t>
  </si>
  <si>
    <t xml:space="preserve">Aug 2024</t>
  </si>
  <si>
    <t xml:space="preserve">S0477</t>
  </si>
  <si>
    <t xml:space="preserve">S0478</t>
  </si>
  <si>
    <t xml:space="preserve">S0479</t>
  </si>
  <si>
    <t xml:space="preserve">S0480</t>
  </si>
  <si>
    <t xml:space="preserve">S0481</t>
  </si>
  <si>
    <t xml:space="preserve">S0482</t>
  </si>
  <si>
    <t xml:space="preserve">S0483</t>
  </si>
  <si>
    <t xml:space="preserve">S0484</t>
  </si>
  <si>
    <t xml:space="preserve">S0485</t>
  </si>
  <si>
    <t xml:space="preserve">S0486</t>
  </si>
  <si>
    <t xml:space="preserve">S0487</t>
  </si>
  <si>
    <t xml:space="preserve">S0488</t>
  </si>
  <si>
    <t xml:space="preserve">S0489</t>
  </si>
  <si>
    <t xml:space="preserve">S0490</t>
  </si>
  <si>
    <t xml:space="preserve">S0491</t>
  </si>
  <si>
    <t xml:space="preserve">S0492</t>
  </si>
  <si>
    <t xml:space="preserve">S0493</t>
  </si>
  <si>
    <t xml:space="preserve">S0494</t>
  </si>
  <si>
    <t xml:space="preserve">S0495</t>
  </si>
  <si>
    <t xml:space="preserve">S0496</t>
  </si>
  <si>
    <t xml:space="preserve">S0497</t>
  </si>
  <si>
    <t xml:space="preserve">S0498</t>
  </si>
  <si>
    <t xml:space="preserve">S0499</t>
  </si>
  <si>
    <t xml:space="preserve">S0500</t>
  </si>
  <si>
    <t xml:space="preserve">S0501</t>
  </si>
  <si>
    <t xml:space="preserve">Sep 2024</t>
  </si>
  <si>
    <t xml:space="preserve">S0502</t>
  </si>
  <si>
    <t xml:space="preserve">S0503</t>
  </si>
  <si>
    <t xml:space="preserve">S0504</t>
  </si>
  <si>
    <t xml:space="preserve">S0505</t>
  </si>
  <si>
    <t xml:space="preserve">S0506</t>
  </si>
  <si>
    <t xml:space="preserve">S0507</t>
  </si>
  <si>
    <t xml:space="preserve">S0508</t>
  </si>
  <si>
    <t xml:space="preserve">S0509</t>
  </si>
  <si>
    <t xml:space="preserve">S0510</t>
  </si>
  <si>
    <t xml:space="preserve">S0511</t>
  </si>
  <si>
    <t xml:space="preserve">S0512</t>
  </si>
  <si>
    <t xml:space="preserve">S0513</t>
  </si>
  <si>
    <t xml:space="preserve">S0514</t>
  </si>
  <si>
    <t xml:space="preserve">S0515</t>
  </si>
  <si>
    <t xml:space="preserve">S0516</t>
  </si>
  <si>
    <t xml:space="preserve">S0517</t>
  </si>
  <si>
    <t xml:space="preserve">S0518</t>
  </si>
  <si>
    <t xml:space="preserve">S0519</t>
  </si>
  <si>
    <t xml:space="preserve">S0520</t>
  </si>
  <si>
    <t xml:space="preserve">S0521</t>
  </si>
  <si>
    <t xml:space="preserve">S0522</t>
  </si>
  <si>
    <t xml:space="preserve">S0523</t>
  </si>
  <si>
    <t xml:space="preserve">S0524</t>
  </si>
  <si>
    <t xml:space="preserve">S0525</t>
  </si>
  <si>
    <t xml:space="preserve">S0526</t>
  </si>
  <si>
    <t xml:space="preserve">Oct 2024</t>
  </si>
  <si>
    <t xml:space="preserve">S0527</t>
  </si>
  <si>
    <t xml:space="preserve">S0528</t>
  </si>
  <si>
    <t xml:space="preserve">S0529</t>
  </si>
  <si>
    <t xml:space="preserve">S0530</t>
  </si>
  <si>
    <t xml:space="preserve">S0531</t>
  </si>
  <si>
    <t xml:space="preserve">S0532</t>
  </si>
  <si>
    <t xml:space="preserve">S0533</t>
  </si>
  <si>
    <t xml:space="preserve">S0534</t>
  </si>
  <si>
    <t xml:space="preserve">S0535</t>
  </si>
  <si>
    <t xml:space="preserve">S0536</t>
  </si>
  <si>
    <t xml:space="preserve">S0537</t>
  </si>
  <si>
    <t xml:space="preserve">S0538</t>
  </si>
  <si>
    <t xml:space="preserve">S0539</t>
  </si>
  <si>
    <t xml:space="preserve">S0540</t>
  </si>
  <si>
    <t xml:space="preserve">S0541</t>
  </si>
  <si>
    <t xml:space="preserve">S0542</t>
  </si>
  <si>
    <t xml:space="preserve">S0543</t>
  </si>
  <si>
    <t xml:space="preserve">S0544</t>
  </si>
  <si>
    <t xml:space="preserve">S0545</t>
  </si>
  <si>
    <t xml:space="preserve">S0546</t>
  </si>
  <si>
    <t xml:space="preserve">S0547</t>
  </si>
  <si>
    <t xml:space="preserve">S0548</t>
  </si>
  <si>
    <t xml:space="preserve">S0549</t>
  </si>
  <si>
    <t xml:space="preserve">S0550</t>
  </si>
  <si>
    <t xml:space="preserve">S0551</t>
  </si>
  <si>
    <t xml:space="preserve">Nov 2024</t>
  </si>
  <si>
    <t xml:space="preserve">S0552</t>
  </si>
  <si>
    <t xml:space="preserve">S0553</t>
  </si>
  <si>
    <t xml:space="preserve">S0554</t>
  </si>
  <si>
    <t xml:space="preserve">S0555</t>
  </si>
  <si>
    <t xml:space="preserve">S0556</t>
  </si>
  <si>
    <t xml:space="preserve">S0557</t>
  </si>
  <si>
    <t xml:space="preserve">S0558</t>
  </si>
  <si>
    <t xml:space="preserve">S0559</t>
  </si>
  <si>
    <t xml:space="preserve">S0560</t>
  </si>
  <si>
    <t xml:space="preserve">S0561</t>
  </si>
  <si>
    <t xml:space="preserve">S0562</t>
  </si>
  <si>
    <t xml:space="preserve">S0563</t>
  </si>
  <si>
    <t xml:space="preserve">S0564</t>
  </si>
  <si>
    <t xml:space="preserve">S0565</t>
  </si>
  <si>
    <t xml:space="preserve">S0566</t>
  </si>
  <si>
    <t xml:space="preserve">S0567</t>
  </si>
  <si>
    <t xml:space="preserve">S0568</t>
  </si>
  <si>
    <t xml:space="preserve">S0569</t>
  </si>
  <si>
    <t xml:space="preserve">S0570</t>
  </si>
  <si>
    <t xml:space="preserve">S0571</t>
  </si>
  <si>
    <t xml:space="preserve">S0572</t>
  </si>
  <si>
    <t xml:space="preserve">S0573</t>
  </si>
  <si>
    <t xml:space="preserve">S0574</t>
  </si>
  <si>
    <t xml:space="preserve">S0575</t>
  </si>
  <si>
    <t xml:space="preserve">S0576</t>
  </si>
  <si>
    <t xml:space="preserve">Dec 2024</t>
  </si>
  <si>
    <t xml:space="preserve">S0577</t>
  </si>
  <si>
    <t xml:space="preserve">S0578</t>
  </si>
  <si>
    <t xml:space="preserve">S0579</t>
  </si>
  <si>
    <t xml:space="preserve">S0580</t>
  </si>
  <si>
    <t xml:space="preserve">S0581</t>
  </si>
  <si>
    <t xml:space="preserve">S0582</t>
  </si>
  <si>
    <t xml:space="preserve">S0583</t>
  </si>
  <si>
    <t xml:space="preserve">S0584</t>
  </si>
  <si>
    <t xml:space="preserve">S0585</t>
  </si>
  <si>
    <t xml:space="preserve">S0586</t>
  </si>
  <si>
    <t xml:space="preserve">S0587</t>
  </si>
  <si>
    <t xml:space="preserve">S0588</t>
  </si>
  <si>
    <t xml:space="preserve">S0589</t>
  </si>
  <si>
    <t xml:space="preserve">S0590</t>
  </si>
  <si>
    <t xml:space="preserve">S0591</t>
  </si>
  <si>
    <t xml:space="preserve">S0592</t>
  </si>
  <si>
    <t xml:space="preserve">S0593</t>
  </si>
  <si>
    <t xml:space="preserve">S0594</t>
  </si>
  <si>
    <t xml:space="preserve">S0595</t>
  </si>
  <si>
    <t xml:space="preserve">S0596</t>
  </si>
  <si>
    <t xml:space="preserve">S0597</t>
  </si>
  <si>
    <t xml:space="preserve">S0598</t>
  </si>
  <si>
    <t xml:space="preserve">S0599</t>
  </si>
  <si>
    <t xml:space="preserve">S0600</t>
  </si>
  <si>
    <t xml:space="preserve">MONTHLY REVENUE SUMMARY &amp; FORECAST</t>
  </si>
  <si>
    <t xml:space="preserve">Total_Revenue_INR</t>
  </si>
  <si>
    <t xml:space="preserve">MoM_Growth_%</t>
  </si>
  <si>
    <t xml:space="preserve">3M_Moving_Avg_INR</t>
  </si>
  <si>
    <t xml:space="preserve">Forecast_Next_Month_INR</t>
  </si>
  <si>
    <t xml:space="preserve">TOTAL / AVG</t>
  </si>
  <si>
    <t xml:space="preserve">PRODUCT &amp; REGION WISE REVENUE SUMMARY</t>
  </si>
  <si>
    <t xml:space="preserve">Grand Total (INR)</t>
  </si>
  <si>
    <t xml:space="preserve">Total</t>
  </si>
  <si>
    <t xml:space="preserve">YEAR-ON-YEAR GROWTH ANALYSIS</t>
  </si>
  <si>
    <t xml:space="preserve">Revenue FY2023 (INR)</t>
  </si>
  <si>
    <t xml:space="preserve">Revenue FY2024 (INR)</t>
  </si>
  <si>
    <t xml:space="preserve">YoY Growth (INR)</t>
  </si>
  <si>
    <t xml:space="preserve">YoY Growth %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</si>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</sst>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₹#,##0"/>
    <numFmt numFmtId="167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54360"/>
        <bgColor rgb="FF1A5276"/>
      </patternFill>
    </fill>
    <fill>
      <patternFill patternType="solid">
        <fgColor rgb="FF1A5276"/>
        <bgColor rgb="FF154360"/>
      </patternFill>
    </fill>
    <fill>
      <patternFill patternType="solid">
        <fgColor rgb="FFD4E6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4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54360"/>
      <rgbColor rgb="FF339966"/>
      <rgbColor rgb="FF003300"/>
      <rgbColor rgb="FF333300"/>
      <rgbColor rgb="FF993300"/>
      <rgbColor rgb="FF993366"/>
      <rgbColor rgb="FF1A527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8" min="7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15" hidden="false" customHeight="false" outlineLevel="0" collapsed="false">
      <c r="A3" s="3" t="s">
        <v>9</v>
      </c>
      <c r="B3" s="3" t="s">
        <v>10</v>
      </c>
      <c r="C3" s="3" t="n">
        <v>1</v>
      </c>
      <c r="D3" s="4" t="s">
        <v>11</v>
      </c>
      <c r="E3" s="3" t="s">
        <v>12</v>
      </c>
      <c r="F3" s="5" t="n">
        <v>112</v>
      </c>
      <c r="G3" s="6" t="n">
        <v>2429.53</v>
      </c>
      <c r="H3" s="6" t="n">
        <f aca="false">F3*G3</f>
        <v>272107.36</v>
      </c>
    </row>
    <row r="4" customFormat="false" ht="15" hidden="false" customHeight="false" outlineLevel="0" collapsed="false">
      <c r="A4" s="3" t="s">
        <v>13</v>
      </c>
      <c r="B4" s="3" t="s">
        <v>10</v>
      </c>
      <c r="C4" s="3" t="n">
        <v>1</v>
      </c>
      <c r="D4" s="4" t="s">
        <v>11</v>
      </c>
      <c r="E4" s="3" t="s">
        <v>14</v>
      </c>
      <c r="F4" s="5" t="n">
        <v>94</v>
      </c>
      <c r="G4" s="6" t="n">
        <v>2560.37</v>
      </c>
      <c r="H4" s="6" t="n">
        <f aca="false">F4*G4</f>
        <v>240674.78</v>
      </c>
    </row>
    <row r="5" customFormat="false" ht="15" hidden="false" customHeight="false" outlineLevel="0" collapsed="false">
      <c r="A5" s="3" t="s">
        <v>15</v>
      </c>
      <c r="B5" s="3" t="s">
        <v>10</v>
      </c>
      <c r="C5" s="3" t="n">
        <v>1</v>
      </c>
      <c r="D5" s="4" t="s">
        <v>11</v>
      </c>
      <c r="E5" s="3" t="s">
        <v>16</v>
      </c>
      <c r="F5" s="5" t="n">
        <v>97</v>
      </c>
      <c r="G5" s="6" t="n">
        <v>2514.35</v>
      </c>
      <c r="H5" s="6" t="n">
        <f aca="false">F5*G5</f>
        <v>243891.95</v>
      </c>
    </row>
    <row r="6" customFormat="false" ht="15" hidden="false" customHeight="false" outlineLevel="0" collapsed="false">
      <c r="A6" s="3" t="s">
        <v>17</v>
      </c>
      <c r="B6" s="3" t="s">
        <v>10</v>
      </c>
      <c r="C6" s="3" t="n">
        <v>1</v>
      </c>
      <c r="D6" s="4" t="s">
        <v>11</v>
      </c>
      <c r="E6" s="3" t="s">
        <v>18</v>
      </c>
      <c r="F6" s="5" t="n">
        <v>94</v>
      </c>
      <c r="G6" s="6" t="n">
        <v>2323.2</v>
      </c>
      <c r="H6" s="6" t="n">
        <f aca="false">F6*G6</f>
        <v>218380.8</v>
      </c>
    </row>
    <row r="7" customFormat="false" ht="15" hidden="false" customHeight="false" outlineLevel="0" collapsed="false">
      <c r="A7" s="3" t="s">
        <v>19</v>
      </c>
      <c r="B7" s="3" t="s">
        <v>10</v>
      </c>
      <c r="C7" s="3" t="n">
        <v>1</v>
      </c>
      <c r="D7" s="4" t="s">
        <v>11</v>
      </c>
      <c r="E7" s="3" t="s">
        <v>20</v>
      </c>
      <c r="F7" s="5" t="n">
        <v>75</v>
      </c>
      <c r="G7" s="6" t="n">
        <v>2315</v>
      </c>
      <c r="H7" s="6" t="n">
        <f aca="false">F7*G7</f>
        <v>173625</v>
      </c>
    </row>
    <row r="8" customFormat="false" ht="15" hidden="false" customHeight="false" outlineLevel="0" collapsed="false">
      <c r="A8" s="3" t="s">
        <v>21</v>
      </c>
      <c r="B8" s="3" t="s">
        <v>10</v>
      </c>
      <c r="C8" s="3" t="n">
        <v>1</v>
      </c>
      <c r="D8" s="4" t="s">
        <v>22</v>
      </c>
      <c r="E8" s="3" t="s">
        <v>12</v>
      </c>
      <c r="F8" s="5" t="n">
        <v>110</v>
      </c>
      <c r="G8" s="6" t="n">
        <v>3910.94</v>
      </c>
      <c r="H8" s="6" t="n">
        <f aca="false">F8*G8</f>
        <v>430203.4</v>
      </c>
    </row>
    <row r="9" customFormat="false" ht="15" hidden="false" customHeight="false" outlineLevel="0" collapsed="false">
      <c r="A9" s="3" t="s">
        <v>23</v>
      </c>
      <c r="B9" s="3" t="s">
        <v>10</v>
      </c>
      <c r="C9" s="3" t="n">
        <v>1</v>
      </c>
      <c r="D9" s="4" t="s">
        <v>22</v>
      </c>
      <c r="E9" s="3" t="s">
        <v>14</v>
      </c>
      <c r="F9" s="5" t="n">
        <v>123</v>
      </c>
      <c r="G9" s="6" t="n">
        <v>4149.28</v>
      </c>
      <c r="H9" s="6" t="n">
        <f aca="false">F9*G9</f>
        <v>510361.44</v>
      </c>
    </row>
    <row r="10" customFormat="false" ht="15" hidden="false" customHeight="false" outlineLevel="0" collapsed="false">
      <c r="A10" s="3" t="s">
        <v>24</v>
      </c>
      <c r="B10" s="3" t="s">
        <v>10</v>
      </c>
      <c r="C10" s="3" t="n">
        <v>1</v>
      </c>
      <c r="D10" s="4" t="s">
        <v>22</v>
      </c>
      <c r="E10" s="3" t="s">
        <v>16</v>
      </c>
      <c r="F10" s="5" t="n">
        <v>92</v>
      </c>
      <c r="G10" s="6" t="n">
        <v>3947.19</v>
      </c>
      <c r="H10" s="6" t="n">
        <f aca="false">F10*G10</f>
        <v>363141.48</v>
      </c>
    </row>
    <row r="11" customFormat="false" ht="15" hidden="false" customHeight="false" outlineLevel="0" collapsed="false">
      <c r="A11" s="3" t="s">
        <v>25</v>
      </c>
      <c r="B11" s="3" t="s">
        <v>10</v>
      </c>
      <c r="C11" s="3" t="n">
        <v>1</v>
      </c>
      <c r="D11" s="4" t="s">
        <v>22</v>
      </c>
      <c r="E11" s="3" t="s">
        <v>18</v>
      </c>
      <c r="F11" s="5" t="n">
        <v>108</v>
      </c>
      <c r="G11" s="6" t="n">
        <v>4285.64</v>
      </c>
      <c r="H11" s="6" t="n">
        <f aca="false">F11*G11</f>
        <v>462849.12</v>
      </c>
    </row>
    <row r="12" customFormat="false" ht="15" hidden="false" customHeight="false" outlineLevel="0" collapsed="false">
      <c r="A12" s="3" t="s">
        <v>26</v>
      </c>
      <c r="B12" s="3" t="s">
        <v>10</v>
      </c>
      <c r="C12" s="3" t="n">
        <v>1</v>
      </c>
      <c r="D12" s="4" t="s">
        <v>22</v>
      </c>
      <c r="E12" s="3" t="s">
        <v>20</v>
      </c>
      <c r="F12" s="5" t="n">
        <v>74</v>
      </c>
      <c r="G12" s="6" t="n">
        <v>4251.81</v>
      </c>
      <c r="H12" s="6" t="n">
        <f aca="false">F12*G12</f>
        <v>314633.94</v>
      </c>
    </row>
    <row r="13" customFormat="false" ht="15" hidden="false" customHeight="false" outlineLevel="0" collapsed="false">
      <c r="A13" s="3" t="s">
        <v>27</v>
      </c>
      <c r="B13" s="3" t="s">
        <v>10</v>
      </c>
      <c r="C13" s="3" t="n">
        <v>1</v>
      </c>
      <c r="D13" s="4" t="s">
        <v>28</v>
      </c>
      <c r="E13" s="3" t="s">
        <v>12</v>
      </c>
      <c r="F13" s="5" t="n">
        <v>108</v>
      </c>
      <c r="G13" s="6" t="n">
        <v>1937.16</v>
      </c>
      <c r="H13" s="6" t="n">
        <f aca="false">F13*G13</f>
        <v>209213.28</v>
      </c>
    </row>
    <row r="14" customFormat="false" ht="15" hidden="false" customHeight="false" outlineLevel="0" collapsed="false">
      <c r="A14" s="3" t="s">
        <v>29</v>
      </c>
      <c r="B14" s="3" t="s">
        <v>10</v>
      </c>
      <c r="C14" s="3" t="n">
        <v>1</v>
      </c>
      <c r="D14" s="4" t="s">
        <v>28</v>
      </c>
      <c r="E14" s="3" t="s">
        <v>14</v>
      </c>
      <c r="F14" s="5" t="n">
        <v>103</v>
      </c>
      <c r="G14" s="6" t="n">
        <v>1903.24</v>
      </c>
      <c r="H14" s="6" t="n">
        <f aca="false">F14*G14</f>
        <v>196033.72</v>
      </c>
    </row>
    <row r="15" customFormat="false" ht="15" hidden="false" customHeight="false" outlineLevel="0" collapsed="false">
      <c r="A15" s="3" t="s">
        <v>30</v>
      </c>
      <c r="B15" s="3" t="s">
        <v>10</v>
      </c>
      <c r="C15" s="3" t="n">
        <v>1</v>
      </c>
      <c r="D15" s="4" t="s">
        <v>28</v>
      </c>
      <c r="E15" s="3" t="s">
        <v>16</v>
      </c>
      <c r="F15" s="5" t="n">
        <v>89</v>
      </c>
      <c r="G15" s="6" t="n">
        <v>1697.55</v>
      </c>
      <c r="H15" s="6" t="n">
        <f aca="false">F15*G15</f>
        <v>151081.95</v>
      </c>
    </row>
    <row r="16" customFormat="false" ht="15" hidden="false" customHeight="false" outlineLevel="0" collapsed="false">
      <c r="A16" s="3" t="s">
        <v>31</v>
      </c>
      <c r="B16" s="3" t="s">
        <v>10</v>
      </c>
      <c r="C16" s="3" t="n">
        <v>1</v>
      </c>
      <c r="D16" s="4" t="s">
        <v>28</v>
      </c>
      <c r="E16" s="3" t="s">
        <v>18</v>
      </c>
      <c r="F16" s="5" t="n">
        <v>104</v>
      </c>
      <c r="G16" s="6" t="n">
        <v>1744.84</v>
      </c>
      <c r="H16" s="6" t="n">
        <f aca="false">F16*G16</f>
        <v>181463.36</v>
      </c>
    </row>
    <row r="17" customFormat="false" ht="15" hidden="false" customHeight="false" outlineLevel="0" collapsed="false">
      <c r="A17" s="3" t="s">
        <v>32</v>
      </c>
      <c r="B17" s="3" t="s">
        <v>10</v>
      </c>
      <c r="C17" s="3" t="n">
        <v>1</v>
      </c>
      <c r="D17" s="4" t="s">
        <v>28</v>
      </c>
      <c r="E17" s="3" t="s">
        <v>20</v>
      </c>
      <c r="F17" s="5" t="n">
        <v>79</v>
      </c>
      <c r="G17" s="6" t="n">
        <v>1708.05</v>
      </c>
      <c r="H17" s="6" t="n">
        <f aca="false">F17*G17</f>
        <v>134935.95</v>
      </c>
    </row>
    <row r="18" customFormat="false" ht="15" hidden="false" customHeight="false" outlineLevel="0" collapsed="false">
      <c r="A18" s="3" t="s">
        <v>33</v>
      </c>
      <c r="B18" s="3" t="s">
        <v>10</v>
      </c>
      <c r="C18" s="3" t="n">
        <v>1</v>
      </c>
      <c r="D18" s="4" t="s">
        <v>34</v>
      </c>
      <c r="E18" s="3" t="s">
        <v>12</v>
      </c>
      <c r="F18" s="5" t="n">
        <v>122</v>
      </c>
      <c r="G18" s="6" t="n">
        <v>6644.47</v>
      </c>
      <c r="H18" s="6" t="n">
        <f aca="false">F18*G18</f>
        <v>810625.34</v>
      </c>
    </row>
    <row r="19" customFormat="false" ht="15" hidden="false" customHeight="false" outlineLevel="0" collapsed="false">
      <c r="A19" s="3" t="s">
        <v>35</v>
      </c>
      <c r="B19" s="3" t="s">
        <v>10</v>
      </c>
      <c r="C19" s="3" t="n">
        <v>1</v>
      </c>
      <c r="D19" s="4" t="s">
        <v>34</v>
      </c>
      <c r="E19" s="3" t="s">
        <v>14</v>
      </c>
      <c r="F19" s="5" t="n">
        <v>94</v>
      </c>
      <c r="G19" s="6" t="n">
        <v>6549.65</v>
      </c>
      <c r="H19" s="6" t="n">
        <f aca="false">F19*G19</f>
        <v>615667.1</v>
      </c>
    </row>
    <row r="20" customFormat="false" ht="15" hidden="false" customHeight="false" outlineLevel="0" collapsed="false">
      <c r="A20" s="3" t="s">
        <v>36</v>
      </c>
      <c r="B20" s="3" t="s">
        <v>10</v>
      </c>
      <c r="C20" s="3" t="n">
        <v>1</v>
      </c>
      <c r="D20" s="4" t="s">
        <v>34</v>
      </c>
      <c r="E20" s="3" t="s">
        <v>16</v>
      </c>
      <c r="F20" s="5" t="n">
        <v>92</v>
      </c>
      <c r="G20" s="6" t="n">
        <v>6041.99</v>
      </c>
      <c r="H20" s="6" t="n">
        <f aca="false">F20*G20</f>
        <v>555863.08</v>
      </c>
    </row>
    <row r="21" customFormat="false" ht="15" hidden="false" customHeight="false" outlineLevel="0" collapsed="false">
      <c r="A21" s="3" t="s">
        <v>37</v>
      </c>
      <c r="B21" s="3" t="s">
        <v>10</v>
      </c>
      <c r="C21" s="3" t="n">
        <v>1</v>
      </c>
      <c r="D21" s="4" t="s">
        <v>34</v>
      </c>
      <c r="E21" s="3" t="s">
        <v>18</v>
      </c>
      <c r="F21" s="5" t="n">
        <v>91</v>
      </c>
      <c r="G21" s="6" t="n">
        <v>6687.62</v>
      </c>
      <c r="H21" s="6" t="n">
        <f aca="false">F21*G21</f>
        <v>608573.42</v>
      </c>
    </row>
    <row r="22" customFormat="false" ht="15" hidden="false" customHeight="false" outlineLevel="0" collapsed="false">
      <c r="A22" s="3" t="s">
        <v>38</v>
      </c>
      <c r="B22" s="3" t="s">
        <v>10</v>
      </c>
      <c r="C22" s="3" t="n">
        <v>1</v>
      </c>
      <c r="D22" s="4" t="s">
        <v>34</v>
      </c>
      <c r="E22" s="3" t="s">
        <v>20</v>
      </c>
      <c r="F22" s="5" t="n">
        <v>79</v>
      </c>
      <c r="G22" s="6" t="n">
        <v>6306.71</v>
      </c>
      <c r="H22" s="6" t="n">
        <f aca="false">F22*G22</f>
        <v>498230.09</v>
      </c>
    </row>
    <row r="23" customFormat="false" ht="15" hidden="false" customHeight="false" outlineLevel="0" collapsed="false">
      <c r="A23" s="3" t="s">
        <v>39</v>
      </c>
      <c r="B23" s="3" t="s">
        <v>10</v>
      </c>
      <c r="C23" s="3" t="n">
        <v>1</v>
      </c>
      <c r="D23" s="4" t="s">
        <v>40</v>
      </c>
      <c r="E23" s="3" t="s">
        <v>12</v>
      </c>
      <c r="F23" s="5" t="n">
        <v>119</v>
      </c>
      <c r="G23" s="6" t="n">
        <v>3076.78</v>
      </c>
      <c r="H23" s="6" t="n">
        <f aca="false">F23*G23</f>
        <v>366136.82</v>
      </c>
    </row>
    <row r="24" customFormat="false" ht="15" hidden="false" customHeight="false" outlineLevel="0" collapsed="false">
      <c r="A24" s="3" t="s">
        <v>41</v>
      </c>
      <c r="B24" s="3" t="s">
        <v>10</v>
      </c>
      <c r="C24" s="3" t="n">
        <v>1</v>
      </c>
      <c r="D24" s="4" t="s">
        <v>40</v>
      </c>
      <c r="E24" s="3" t="s">
        <v>14</v>
      </c>
      <c r="F24" s="5" t="n">
        <v>118</v>
      </c>
      <c r="G24" s="6" t="n">
        <v>3246.01</v>
      </c>
      <c r="H24" s="6" t="n">
        <f aca="false">F24*G24</f>
        <v>383029.18</v>
      </c>
    </row>
    <row r="25" customFormat="false" ht="15" hidden="false" customHeight="false" outlineLevel="0" collapsed="false">
      <c r="A25" s="3" t="s">
        <v>42</v>
      </c>
      <c r="B25" s="3" t="s">
        <v>10</v>
      </c>
      <c r="C25" s="3" t="n">
        <v>1</v>
      </c>
      <c r="D25" s="4" t="s">
        <v>40</v>
      </c>
      <c r="E25" s="3" t="s">
        <v>16</v>
      </c>
      <c r="F25" s="5" t="n">
        <v>105</v>
      </c>
      <c r="G25" s="6" t="n">
        <v>2973.07</v>
      </c>
      <c r="H25" s="6" t="n">
        <f aca="false">F25*G25</f>
        <v>312172.35</v>
      </c>
    </row>
    <row r="26" customFormat="false" ht="15" hidden="false" customHeight="false" outlineLevel="0" collapsed="false">
      <c r="A26" s="3" t="s">
        <v>43</v>
      </c>
      <c r="B26" s="3" t="s">
        <v>10</v>
      </c>
      <c r="C26" s="3" t="n">
        <v>1</v>
      </c>
      <c r="D26" s="4" t="s">
        <v>40</v>
      </c>
      <c r="E26" s="3" t="s">
        <v>18</v>
      </c>
      <c r="F26" s="5" t="n">
        <v>105</v>
      </c>
      <c r="G26" s="6" t="n">
        <v>3112.5</v>
      </c>
      <c r="H26" s="6" t="n">
        <f aca="false">F26*G26</f>
        <v>326812.5</v>
      </c>
    </row>
    <row r="27" customFormat="false" ht="15" hidden="false" customHeight="false" outlineLevel="0" collapsed="false">
      <c r="A27" s="3" t="s">
        <v>44</v>
      </c>
      <c r="B27" s="3" t="s">
        <v>10</v>
      </c>
      <c r="C27" s="3" t="n">
        <v>1</v>
      </c>
      <c r="D27" s="4" t="s">
        <v>40</v>
      </c>
      <c r="E27" s="3" t="s">
        <v>20</v>
      </c>
      <c r="F27" s="5" t="n">
        <v>71</v>
      </c>
      <c r="G27" s="6" t="n">
        <v>3213.8</v>
      </c>
      <c r="H27" s="6" t="n">
        <f aca="false">F27*G27</f>
        <v>228179.8</v>
      </c>
    </row>
    <row r="28" customFormat="false" ht="15" hidden="false" customHeight="false" outlineLevel="0" collapsed="false">
      <c r="A28" s="3" t="s">
        <v>45</v>
      </c>
      <c r="B28" s="3" t="s">
        <v>46</v>
      </c>
      <c r="C28" s="3" t="n">
        <v>2</v>
      </c>
      <c r="D28" s="4" t="s">
        <v>11</v>
      </c>
      <c r="E28" s="3" t="s">
        <v>12</v>
      </c>
      <c r="F28" s="5" t="n">
        <v>115</v>
      </c>
      <c r="G28" s="6" t="n">
        <v>2692.07</v>
      </c>
      <c r="H28" s="6" t="n">
        <f aca="false">F28*G28</f>
        <v>309588.05</v>
      </c>
    </row>
    <row r="29" customFormat="false" ht="15" hidden="false" customHeight="false" outlineLevel="0" collapsed="false">
      <c r="A29" s="3" t="s">
        <v>47</v>
      </c>
      <c r="B29" s="3" t="s">
        <v>46</v>
      </c>
      <c r="C29" s="3" t="n">
        <v>2</v>
      </c>
      <c r="D29" s="4" t="s">
        <v>11</v>
      </c>
      <c r="E29" s="3" t="s">
        <v>14</v>
      </c>
      <c r="F29" s="5" t="n">
        <v>125</v>
      </c>
      <c r="G29" s="6" t="n">
        <v>2467.25</v>
      </c>
      <c r="H29" s="6" t="n">
        <f aca="false">F29*G29</f>
        <v>308406.25</v>
      </c>
    </row>
    <row r="30" customFormat="false" ht="15" hidden="false" customHeight="false" outlineLevel="0" collapsed="false">
      <c r="A30" s="3" t="s">
        <v>48</v>
      </c>
      <c r="B30" s="3" t="s">
        <v>46</v>
      </c>
      <c r="C30" s="3" t="n">
        <v>2</v>
      </c>
      <c r="D30" s="4" t="s">
        <v>11</v>
      </c>
      <c r="E30" s="3" t="s">
        <v>16</v>
      </c>
      <c r="F30" s="5" t="n">
        <v>106</v>
      </c>
      <c r="G30" s="6" t="n">
        <v>2360.79</v>
      </c>
      <c r="H30" s="6" t="n">
        <f aca="false">F30*G30</f>
        <v>250243.74</v>
      </c>
    </row>
    <row r="31" customFormat="false" ht="15" hidden="false" customHeight="false" outlineLevel="0" collapsed="false">
      <c r="A31" s="3" t="s">
        <v>49</v>
      </c>
      <c r="B31" s="3" t="s">
        <v>46</v>
      </c>
      <c r="C31" s="3" t="n">
        <v>2</v>
      </c>
      <c r="D31" s="4" t="s">
        <v>11</v>
      </c>
      <c r="E31" s="3" t="s">
        <v>18</v>
      </c>
      <c r="F31" s="5" t="n">
        <v>103</v>
      </c>
      <c r="G31" s="6" t="n">
        <v>2315.68</v>
      </c>
      <c r="H31" s="6" t="n">
        <f aca="false">F31*G31</f>
        <v>238515.04</v>
      </c>
    </row>
    <row r="32" customFormat="false" ht="15" hidden="false" customHeight="false" outlineLevel="0" collapsed="false">
      <c r="A32" s="3" t="s">
        <v>50</v>
      </c>
      <c r="B32" s="3" t="s">
        <v>46</v>
      </c>
      <c r="C32" s="3" t="n">
        <v>2</v>
      </c>
      <c r="D32" s="4" t="s">
        <v>11</v>
      </c>
      <c r="E32" s="3" t="s">
        <v>20</v>
      </c>
      <c r="F32" s="5" t="n">
        <v>81</v>
      </c>
      <c r="G32" s="6" t="n">
        <v>2605.83</v>
      </c>
      <c r="H32" s="6" t="n">
        <f aca="false">F32*G32</f>
        <v>211072.23</v>
      </c>
    </row>
    <row r="33" customFormat="false" ht="15" hidden="false" customHeight="false" outlineLevel="0" collapsed="false">
      <c r="A33" s="3" t="s">
        <v>51</v>
      </c>
      <c r="B33" s="3" t="s">
        <v>46</v>
      </c>
      <c r="C33" s="3" t="n">
        <v>2</v>
      </c>
      <c r="D33" s="4" t="s">
        <v>22</v>
      </c>
      <c r="E33" s="3" t="s">
        <v>12</v>
      </c>
      <c r="F33" s="5" t="n">
        <v>124</v>
      </c>
      <c r="G33" s="6" t="n">
        <v>4452.32</v>
      </c>
      <c r="H33" s="6" t="n">
        <f aca="false">F33*G33</f>
        <v>552087.68</v>
      </c>
    </row>
    <row r="34" customFormat="false" ht="15" hidden="false" customHeight="false" outlineLevel="0" collapsed="false">
      <c r="A34" s="3" t="s">
        <v>52</v>
      </c>
      <c r="B34" s="3" t="s">
        <v>46</v>
      </c>
      <c r="C34" s="3" t="n">
        <v>2</v>
      </c>
      <c r="D34" s="4" t="s">
        <v>22</v>
      </c>
      <c r="E34" s="3" t="s">
        <v>14</v>
      </c>
      <c r="F34" s="5" t="n">
        <v>119</v>
      </c>
      <c r="G34" s="6" t="n">
        <v>4331.24</v>
      </c>
      <c r="H34" s="6" t="n">
        <f aca="false">F34*G34</f>
        <v>515417.56</v>
      </c>
    </row>
    <row r="35" customFormat="false" ht="15" hidden="false" customHeight="false" outlineLevel="0" collapsed="false">
      <c r="A35" s="3" t="s">
        <v>53</v>
      </c>
      <c r="B35" s="3" t="s">
        <v>46</v>
      </c>
      <c r="C35" s="3" t="n">
        <v>2</v>
      </c>
      <c r="D35" s="4" t="s">
        <v>22</v>
      </c>
      <c r="E35" s="3" t="s">
        <v>16</v>
      </c>
      <c r="F35" s="5" t="n">
        <v>105</v>
      </c>
      <c r="G35" s="6" t="n">
        <v>4253.69</v>
      </c>
      <c r="H35" s="6" t="n">
        <f aca="false">F35*G35</f>
        <v>446637.45</v>
      </c>
    </row>
    <row r="36" customFormat="false" ht="15" hidden="false" customHeight="false" outlineLevel="0" collapsed="false">
      <c r="A36" s="3" t="s">
        <v>54</v>
      </c>
      <c r="B36" s="3" t="s">
        <v>46</v>
      </c>
      <c r="C36" s="3" t="n">
        <v>2</v>
      </c>
      <c r="D36" s="4" t="s">
        <v>22</v>
      </c>
      <c r="E36" s="3" t="s">
        <v>18</v>
      </c>
      <c r="F36" s="5" t="n">
        <v>112</v>
      </c>
      <c r="G36" s="6" t="n">
        <v>4428.46</v>
      </c>
      <c r="H36" s="6" t="n">
        <f aca="false">F36*G36</f>
        <v>495987.52</v>
      </c>
    </row>
    <row r="37" customFormat="false" ht="15" hidden="false" customHeight="false" outlineLevel="0" collapsed="false">
      <c r="A37" s="3" t="s">
        <v>55</v>
      </c>
      <c r="B37" s="3" t="s">
        <v>46</v>
      </c>
      <c r="C37" s="3" t="n">
        <v>2</v>
      </c>
      <c r="D37" s="4" t="s">
        <v>22</v>
      </c>
      <c r="E37" s="3" t="s">
        <v>20</v>
      </c>
      <c r="F37" s="5" t="n">
        <v>84</v>
      </c>
      <c r="G37" s="6" t="n">
        <v>4182.59</v>
      </c>
      <c r="H37" s="6" t="n">
        <f aca="false">F37*G37</f>
        <v>351337.56</v>
      </c>
    </row>
    <row r="38" customFormat="false" ht="15" hidden="false" customHeight="false" outlineLevel="0" collapsed="false">
      <c r="A38" s="3" t="s">
        <v>56</v>
      </c>
      <c r="B38" s="3" t="s">
        <v>46</v>
      </c>
      <c r="C38" s="3" t="n">
        <v>2</v>
      </c>
      <c r="D38" s="4" t="s">
        <v>28</v>
      </c>
      <c r="E38" s="3" t="s">
        <v>12</v>
      </c>
      <c r="F38" s="5" t="n">
        <v>142</v>
      </c>
      <c r="G38" s="6" t="n">
        <v>1673.47</v>
      </c>
      <c r="H38" s="6" t="n">
        <f aca="false">F38*G38</f>
        <v>237632.74</v>
      </c>
    </row>
    <row r="39" customFormat="false" ht="15" hidden="false" customHeight="false" outlineLevel="0" collapsed="false">
      <c r="A39" s="3" t="s">
        <v>57</v>
      </c>
      <c r="B39" s="3" t="s">
        <v>46</v>
      </c>
      <c r="C39" s="3" t="n">
        <v>2</v>
      </c>
      <c r="D39" s="4" t="s">
        <v>28</v>
      </c>
      <c r="E39" s="3" t="s">
        <v>14</v>
      </c>
      <c r="F39" s="5" t="n">
        <v>134</v>
      </c>
      <c r="G39" s="6" t="n">
        <v>1842.37</v>
      </c>
      <c r="H39" s="6" t="n">
        <f aca="false">F39*G39</f>
        <v>246877.58</v>
      </c>
    </row>
    <row r="40" customFormat="false" ht="15" hidden="false" customHeight="false" outlineLevel="0" collapsed="false">
      <c r="A40" s="3" t="s">
        <v>58</v>
      </c>
      <c r="B40" s="3" t="s">
        <v>46</v>
      </c>
      <c r="C40" s="3" t="n">
        <v>2</v>
      </c>
      <c r="D40" s="4" t="s">
        <v>28</v>
      </c>
      <c r="E40" s="3" t="s">
        <v>16</v>
      </c>
      <c r="F40" s="5" t="n">
        <v>98</v>
      </c>
      <c r="G40" s="6" t="n">
        <v>1892.71</v>
      </c>
      <c r="H40" s="6" t="n">
        <f aca="false">F40*G40</f>
        <v>185485.58</v>
      </c>
    </row>
    <row r="41" customFormat="false" ht="15" hidden="false" customHeight="false" outlineLevel="0" collapsed="false">
      <c r="A41" s="3" t="s">
        <v>59</v>
      </c>
      <c r="B41" s="3" t="s">
        <v>46</v>
      </c>
      <c r="C41" s="3" t="n">
        <v>2</v>
      </c>
      <c r="D41" s="4" t="s">
        <v>28</v>
      </c>
      <c r="E41" s="3" t="s">
        <v>18</v>
      </c>
      <c r="F41" s="5" t="n">
        <v>103</v>
      </c>
      <c r="G41" s="6" t="n">
        <v>1767.11</v>
      </c>
      <c r="H41" s="6" t="n">
        <f aca="false">F41*G41</f>
        <v>182012.33</v>
      </c>
    </row>
    <row r="42" customFormat="false" ht="15" hidden="false" customHeight="false" outlineLevel="0" collapsed="false">
      <c r="A42" s="3" t="s">
        <v>60</v>
      </c>
      <c r="B42" s="3" t="s">
        <v>46</v>
      </c>
      <c r="C42" s="3" t="n">
        <v>2</v>
      </c>
      <c r="D42" s="4" t="s">
        <v>28</v>
      </c>
      <c r="E42" s="3" t="s">
        <v>20</v>
      </c>
      <c r="F42" s="5" t="n">
        <v>78</v>
      </c>
      <c r="G42" s="6" t="n">
        <v>1662.5</v>
      </c>
      <c r="H42" s="6" t="n">
        <f aca="false">F42*G42</f>
        <v>129675</v>
      </c>
    </row>
    <row r="43" customFormat="false" ht="15" hidden="false" customHeight="false" outlineLevel="0" collapsed="false">
      <c r="A43" s="3" t="s">
        <v>61</v>
      </c>
      <c r="B43" s="3" t="s">
        <v>46</v>
      </c>
      <c r="C43" s="3" t="n">
        <v>2</v>
      </c>
      <c r="D43" s="4" t="s">
        <v>34</v>
      </c>
      <c r="E43" s="3" t="s">
        <v>12</v>
      </c>
      <c r="F43" s="5" t="n">
        <v>115</v>
      </c>
      <c r="G43" s="6" t="n">
        <v>6154.77</v>
      </c>
      <c r="H43" s="6" t="n">
        <f aca="false">F43*G43</f>
        <v>707798.55</v>
      </c>
    </row>
    <row r="44" customFormat="false" ht="15" hidden="false" customHeight="false" outlineLevel="0" collapsed="false">
      <c r="A44" s="3" t="s">
        <v>62</v>
      </c>
      <c r="B44" s="3" t="s">
        <v>46</v>
      </c>
      <c r="C44" s="3" t="n">
        <v>2</v>
      </c>
      <c r="D44" s="4" t="s">
        <v>34</v>
      </c>
      <c r="E44" s="3" t="s">
        <v>14</v>
      </c>
      <c r="F44" s="5" t="n">
        <v>126</v>
      </c>
      <c r="G44" s="6" t="n">
        <v>6041.31</v>
      </c>
      <c r="H44" s="6" t="n">
        <f aca="false">F44*G44</f>
        <v>761205.06</v>
      </c>
    </row>
    <row r="45" customFormat="false" ht="15" hidden="false" customHeight="false" outlineLevel="0" collapsed="false">
      <c r="A45" s="3" t="s">
        <v>63</v>
      </c>
      <c r="B45" s="3" t="s">
        <v>46</v>
      </c>
      <c r="C45" s="3" t="n">
        <v>2</v>
      </c>
      <c r="D45" s="4" t="s">
        <v>34</v>
      </c>
      <c r="E45" s="3" t="s">
        <v>16</v>
      </c>
      <c r="F45" s="5" t="n">
        <v>97</v>
      </c>
      <c r="G45" s="6" t="n">
        <v>6114.51</v>
      </c>
      <c r="H45" s="6" t="n">
        <f aca="false">F45*G45</f>
        <v>593107.47</v>
      </c>
    </row>
    <row r="46" customFormat="false" ht="15" hidden="false" customHeight="false" outlineLevel="0" collapsed="false">
      <c r="A46" s="3" t="s">
        <v>64</v>
      </c>
      <c r="B46" s="3" t="s">
        <v>46</v>
      </c>
      <c r="C46" s="3" t="n">
        <v>2</v>
      </c>
      <c r="D46" s="4" t="s">
        <v>34</v>
      </c>
      <c r="E46" s="3" t="s">
        <v>18</v>
      </c>
      <c r="F46" s="5" t="n">
        <v>110</v>
      </c>
      <c r="G46" s="6" t="n">
        <v>6386.59</v>
      </c>
      <c r="H46" s="6" t="n">
        <f aca="false">F46*G46</f>
        <v>702524.9</v>
      </c>
    </row>
    <row r="47" customFormat="false" ht="15" hidden="false" customHeight="false" outlineLevel="0" collapsed="false">
      <c r="A47" s="3" t="s">
        <v>65</v>
      </c>
      <c r="B47" s="3" t="s">
        <v>46</v>
      </c>
      <c r="C47" s="3" t="n">
        <v>2</v>
      </c>
      <c r="D47" s="4" t="s">
        <v>34</v>
      </c>
      <c r="E47" s="3" t="s">
        <v>20</v>
      </c>
      <c r="F47" s="5" t="n">
        <v>78</v>
      </c>
      <c r="G47" s="6" t="n">
        <v>6063.8</v>
      </c>
      <c r="H47" s="6" t="n">
        <f aca="false">F47*G47</f>
        <v>472976.4</v>
      </c>
    </row>
    <row r="48" customFormat="false" ht="15" hidden="false" customHeight="false" outlineLevel="0" collapsed="false">
      <c r="A48" s="3" t="s">
        <v>66</v>
      </c>
      <c r="B48" s="3" t="s">
        <v>46</v>
      </c>
      <c r="C48" s="3" t="n">
        <v>2</v>
      </c>
      <c r="D48" s="4" t="s">
        <v>40</v>
      </c>
      <c r="E48" s="3" t="s">
        <v>12</v>
      </c>
      <c r="F48" s="5" t="n">
        <v>150</v>
      </c>
      <c r="G48" s="6" t="n">
        <v>3124.52</v>
      </c>
      <c r="H48" s="6" t="n">
        <f aca="false">F48*G48</f>
        <v>468678</v>
      </c>
    </row>
    <row r="49" customFormat="false" ht="15" hidden="false" customHeight="false" outlineLevel="0" collapsed="false">
      <c r="A49" s="3" t="s">
        <v>67</v>
      </c>
      <c r="B49" s="3" t="s">
        <v>46</v>
      </c>
      <c r="C49" s="3" t="n">
        <v>2</v>
      </c>
      <c r="D49" s="4" t="s">
        <v>40</v>
      </c>
      <c r="E49" s="3" t="s">
        <v>14</v>
      </c>
      <c r="F49" s="5" t="n">
        <v>129</v>
      </c>
      <c r="G49" s="6" t="n">
        <v>3258.36</v>
      </c>
      <c r="H49" s="6" t="n">
        <f aca="false">F49*G49</f>
        <v>420328.44</v>
      </c>
    </row>
    <row r="50" customFormat="false" ht="15" hidden="false" customHeight="false" outlineLevel="0" collapsed="false">
      <c r="A50" s="3" t="s">
        <v>68</v>
      </c>
      <c r="B50" s="3" t="s">
        <v>46</v>
      </c>
      <c r="C50" s="3" t="n">
        <v>2</v>
      </c>
      <c r="D50" s="4" t="s">
        <v>40</v>
      </c>
      <c r="E50" s="3" t="s">
        <v>16</v>
      </c>
      <c r="F50" s="5" t="n">
        <v>103</v>
      </c>
      <c r="G50" s="6" t="n">
        <v>2990.1</v>
      </c>
      <c r="H50" s="6" t="n">
        <f aca="false">F50*G50</f>
        <v>307980.3</v>
      </c>
    </row>
    <row r="51" customFormat="false" ht="15" hidden="false" customHeight="false" outlineLevel="0" collapsed="false">
      <c r="A51" s="3" t="s">
        <v>69</v>
      </c>
      <c r="B51" s="3" t="s">
        <v>46</v>
      </c>
      <c r="C51" s="3" t="n">
        <v>2</v>
      </c>
      <c r="D51" s="4" t="s">
        <v>40</v>
      </c>
      <c r="E51" s="3" t="s">
        <v>18</v>
      </c>
      <c r="F51" s="5" t="n">
        <v>110</v>
      </c>
      <c r="G51" s="6" t="n">
        <v>3029.95</v>
      </c>
      <c r="H51" s="6" t="n">
        <f aca="false">F51*G51</f>
        <v>333294.5</v>
      </c>
    </row>
    <row r="52" customFormat="false" ht="15" hidden="false" customHeight="false" outlineLevel="0" collapsed="false">
      <c r="A52" s="3" t="s">
        <v>70</v>
      </c>
      <c r="B52" s="3" t="s">
        <v>46</v>
      </c>
      <c r="C52" s="3" t="n">
        <v>2</v>
      </c>
      <c r="D52" s="4" t="s">
        <v>40</v>
      </c>
      <c r="E52" s="3" t="s">
        <v>20</v>
      </c>
      <c r="F52" s="5" t="n">
        <v>70</v>
      </c>
      <c r="G52" s="6" t="n">
        <v>3327.03</v>
      </c>
      <c r="H52" s="6" t="n">
        <f aca="false">F52*G52</f>
        <v>232892.1</v>
      </c>
    </row>
    <row r="53" customFormat="false" ht="15" hidden="false" customHeight="false" outlineLevel="0" collapsed="false">
      <c r="A53" s="3" t="s">
        <v>71</v>
      </c>
      <c r="B53" s="3" t="s">
        <v>72</v>
      </c>
      <c r="C53" s="3" t="n">
        <v>3</v>
      </c>
      <c r="D53" s="4" t="s">
        <v>11</v>
      </c>
      <c r="E53" s="3" t="s">
        <v>12</v>
      </c>
      <c r="F53" s="5" t="n">
        <v>125</v>
      </c>
      <c r="G53" s="6" t="n">
        <v>2370.49</v>
      </c>
      <c r="H53" s="6" t="n">
        <f aca="false">F53*G53</f>
        <v>296311.25</v>
      </c>
    </row>
    <row r="54" customFormat="false" ht="15" hidden="false" customHeight="false" outlineLevel="0" collapsed="false">
      <c r="A54" s="3" t="s">
        <v>73</v>
      </c>
      <c r="B54" s="3" t="s">
        <v>72</v>
      </c>
      <c r="C54" s="3" t="n">
        <v>3</v>
      </c>
      <c r="D54" s="4" t="s">
        <v>11</v>
      </c>
      <c r="E54" s="3" t="s">
        <v>14</v>
      </c>
      <c r="F54" s="5" t="n">
        <v>119</v>
      </c>
      <c r="G54" s="6" t="n">
        <v>2393.33</v>
      </c>
      <c r="H54" s="6" t="n">
        <f aca="false">F54*G54</f>
        <v>284806.27</v>
      </c>
    </row>
    <row r="55" customFormat="false" ht="15" hidden="false" customHeight="false" outlineLevel="0" collapsed="false">
      <c r="A55" s="3" t="s">
        <v>74</v>
      </c>
      <c r="B55" s="3" t="s">
        <v>72</v>
      </c>
      <c r="C55" s="3" t="n">
        <v>3</v>
      </c>
      <c r="D55" s="4" t="s">
        <v>11</v>
      </c>
      <c r="E55" s="3" t="s">
        <v>16</v>
      </c>
      <c r="F55" s="5" t="n">
        <v>101</v>
      </c>
      <c r="G55" s="6" t="n">
        <v>2535.65</v>
      </c>
      <c r="H55" s="6" t="n">
        <f aca="false">F55*G55</f>
        <v>256100.65</v>
      </c>
    </row>
    <row r="56" customFormat="false" ht="15" hidden="false" customHeight="false" outlineLevel="0" collapsed="false">
      <c r="A56" s="3" t="s">
        <v>75</v>
      </c>
      <c r="B56" s="3" t="s">
        <v>72</v>
      </c>
      <c r="C56" s="3" t="n">
        <v>3</v>
      </c>
      <c r="D56" s="4" t="s">
        <v>11</v>
      </c>
      <c r="E56" s="3" t="s">
        <v>18</v>
      </c>
      <c r="F56" s="5" t="n">
        <v>98</v>
      </c>
      <c r="G56" s="6" t="n">
        <v>2301.64</v>
      </c>
      <c r="H56" s="6" t="n">
        <f aca="false">F56*G56</f>
        <v>225560.72</v>
      </c>
    </row>
    <row r="57" customFormat="false" ht="15" hidden="false" customHeight="false" outlineLevel="0" collapsed="false">
      <c r="A57" s="3" t="s">
        <v>76</v>
      </c>
      <c r="B57" s="3" t="s">
        <v>72</v>
      </c>
      <c r="C57" s="3" t="n">
        <v>3</v>
      </c>
      <c r="D57" s="4" t="s">
        <v>11</v>
      </c>
      <c r="E57" s="3" t="s">
        <v>20</v>
      </c>
      <c r="F57" s="5" t="n">
        <v>84</v>
      </c>
      <c r="G57" s="6" t="n">
        <v>2447.7</v>
      </c>
      <c r="H57" s="6" t="n">
        <f aca="false">F57*G57</f>
        <v>205606.8</v>
      </c>
    </row>
    <row r="58" customFormat="false" ht="15" hidden="false" customHeight="false" outlineLevel="0" collapsed="false">
      <c r="A58" s="3" t="s">
        <v>77</v>
      </c>
      <c r="B58" s="3" t="s">
        <v>72</v>
      </c>
      <c r="C58" s="3" t="n">
        <v>3</v>
      </c>
      <c r="D58" s="4" t="s">
        <v>22</v>
      </c>
      <c r="E58" s="3" t="s">
        <v>12</v>
      </c>
      <c r="F58" s="5" t="n">
        <v>147</v>
      </c>
      <c r="G58" s="6" t="n">
        <v>4504.48</v>
      </c>
      <c r="H58" s="6" t="n">
        <f aca="false">F58*G58</f>
        <v>662158.56</v>
      </c>
    </row>
    <row r="59" customFormat="false" ht="15" hidden="false" customHeight="false" outlineLevel="0" collapsed="false">
      <c r="A59" s="3" t="s">
        <v>78</v>
      </c>
      <c r="B59" s="3" t="s">
        <v>72</v>
      </c>
      <c r="C59" s="3" t="n">
        <v>3</v>
      </c>
      <c r="D59" s="4" t="s">
        <v>22</v>
      </c>
      <c r="E59" s="3" t="s">
        <v>14</v>
      </c>
      <c r="F59" s="5" t="n">
        <v>124</v>
      </c>
      <c r="G59" s="6" t="n">
        <v>4210.41</v>
      </c>
      <c r="H59" s="6" t="n">
        <f aca="false">F59*G59</f>
        <v>522090.84</v>
      </c>
    </row>
    <row r="60" customFormat="false" ht="15" hidden="false" customHeight="false" outlineLevel="0" collapsed="false">
      <c r="A60" s="3" t="s">
        <v>79</v>
      </c>
      <c r="B60" s="3" t="s">
        <v>72</v>
      </c>
      <c r="C60" s="3" t="n">
        <v>3</v>
      </c>
      <c r="D60" s="4" t="s">
        <v>22</v>
      </c>
      <c r="E60" s="3" t="s">
        <v>16</v>
      </c>
      <c r="F60" s="5" t="n">
        <v>93</v>
      </c>
      <c r="G60" s="6" t="n">
        <v>4318.41</v>
      </c>
      <c r="H60" s="6" t="n">
        <f aca="false">F60*G60</f>
        <v>401612.13</v>
      </c>
    </row>
    <row r="61" customFormat="false" ht="15" hidden="false" customHeight="false" outlineLevel="0" collapsed="false">
      <c r="A61" s="3" t="s">
        <v>80</v>
      </c>
      <c r="B61" s="3" t="s">
        <v>72</v>
      </c>
      <c r="C61" s="3" t="n">
        <v>3</v>
      </c>
      <c r="D61" s="4" t="s">
        <v>22</v>
      </c>
      <c r="E61" s="3" t="s">
        <v>18</v>
      </c>
      <c r="F61" s="5" t="n">
        <v>111</v>
      </c>
      <c r="G61" s="6" t="n">
        <v>4468.49</v>
      </c>
      <c r="H61" s="6" t="n">
        <f aca="false">F61*G61</f>
        <v>496002.39</v>
      </c>
    </row>
    <row r="62" customFormat="false" ht="15" hidden="false" customHeight="false" outlineLevel="0" collapsed="false">
      <c r="A62" s="3" t="s">
        <v>81</v>
      </c>
      <c r="B62" s="3" t="s">
        <v>72</v>
      </c>
      <c r="C62" s="3" t="n">
        <v>3</v>
      </c>
      <c r="D62" s="4" t="s">
        <v>22</v>
      </c>
      <c r="E62" s="3" t="s">
        <v>20</v>
      </c>
      <c r="F62" s="5" t="n">
        <v>91</v>
      </c>
      <c r="G62" s="6" t="n">
        <v>4451.67</v>
      </c>
      <c r="H62" s="6" t="n">
        <f aca="false">F62*G62</f>
        <v>405101.97</v>
      </c>
    </row>
    <row r="63" customFormat="false" ht="15" hidden="false" customHeight="false" outlineLevel="0" collapsed="false">
      <c r="A63" s="3" t="s">
        <v>82</v>
      </c>
      <c r="B63" s="3" t="s">
        <v>72</v>
      </c>
      <c r="C63" s="3" t="n">
        <v>3</v>
      </c>
      <c r="D63" s="4" t="s">
        <v>28</v>
      </c>
      <c r="E63" s="3" t="s">
        <v>12</v>
      </c>
      <c r="F63" s="5" t="n">
        <v>133</v>
      </c>
      <c r="G63" s="6" t="n">
        <v>1769.01</v>
      </c>
      <c r="H63" s="6" t="n">
        <f aca="false">F63*G63</f>
        <v>235278.33</v>
      </c>
    </row>
    <row r="64" customFormat="false" ht="15" hidden="false" customHeight="false" outlineLevel="0" collapsed="false">
      <c r="A64" s="3" t="s">
        <v>83</v>
      </c>
      <c r="B64" s="3" t="s">
        <v>72</v>
      </c>
      <c r="C64" s="3" t="n">
        <v>3</v>
      </c>
      <c r="D64" s="4" t="s">
        <v>28</v>
      </c>
      <c r="E64" s="3" t="s">
        <v>14</v>
      </c>
      <c r="F64" s="5" t="n">
        <v>125</v>
      </c>
      <c r="G64" s="6" t="n">
        <v>1685.82</v>
      </c>
      <c r="H64" s="6" t="n">
        <f aca="false">F64*G64</f>
        <v>210727.5</v>
      </c>
    </row>
    <row r="65" customFormat="false" ht="15" hidden="false" customHeight="false" outlineLevel="0" collapsed="false">
      <c r="A65" s="3" t="s">
        <v>84</v>
      </c>
      <c r="B65" s="3" t="s">
        <v>72</v>
      </c>
      <c r="C65" s="3" t="n">
        <v>3</v>
      </c>
      <c r="D65" s="4" t="s">
        <v>28</v>
      </c>
      <c r="E65" s="3" t="s">
        <v>16</v>
      </c>
      <c r="F65" s="5" t="n">
        <v>94</v>
      </c>
      <c r="G65" s="6" t="n">
        <v>1673.93</v>
      </c>
      <c r="H65" s="6" t="n">
        <f aca="false">F65*G65</f>
        <v>157349.42</v>
      </c>
    </row>
    <row r="66" customFormat="false" ht="15" hidden="false" customHeight="false" outlineLevel="0" collapsed="false">
      <c r="A66" s="3" t="s">
        <v>85</v>
      </c>
      <c r="B66" s="3" t="s">
        <v>72</v>
      </c>
      <c r="C66" s="3" t="n">
        <v>3</v>
      </c>
      <c r="D66" s="4" t="s">
        <v>28</v>
      </c>
      <c r="E66" s="3" t="s">
        <v>18</v>
      </c>
      <c r="F66" s="5" t="n">
        <v>89</v>
      </c>
      <c r="G66" s="6" t="n">
        <v>1716.12</v>
      </c>
      <c r="H66" s="6" t="n">
        <f aca="false">F66*G66</f>
        <v>152734.68</v>
      </c>
    </row>
    <row r="67" customFormat="false" ht="15" hidden="false" customHeight="false" outlineLevel="0" collapsed="false">
      <c r="A67" s="3" t="s">
        <v>86</v>
      </c>
      <c r="B67" s="3" t="s">
        <v>72</v>
      </c>
      <c r="C67" s="3" t="n">
        <v>3</v>
      </c>
      <c r="D67" s="4" t="s">
        <v>28</v>
      </c>
      <c r="E67" s="3" t="s">
        <v>20</v>
      </c>
      <c r="F67" s="5" t="n">
        <v>70</v>
      </c>
      <c r="G67" s="6" t="n">
        <v>1753.94</v>
      </c>
      <c r="H67" s="6" t="n">
        <f aca="false">F67*G67</f>
        <v>122775.8</v>
      </c>
    </row>
    <row r="68" customFormat="false" ht="15" hidden="false" customHeight="false" outlineLevel="0" collapsed="false">
      <c r="A68" s="3" t="s">
        <v>87</v>
      </c>
      <c r="B68" s="3" t="s">
        <v>72</v>
      </c>
      <c r="C68" s="3" t="n">
        <v>3</v>
      </c>
      <c r="D68" s="4" t="s">
        <v>34</v>
      </c>
      <c r="E68" s="3" t="s">
        <v>12</v>
      </c>
      <c r="F68" s="5" t="n">
        <v>121</v>
      </c>
      <c r="G68" s="6" t="n">
        <v>5980.24</v>
      </c>
      <c r="H68" s="6" t="n">
        <f aca="false">F68*G68</f>
        <v>723609.04</v>
      </c>
    </row>
    <row r="69" customFormat="false" ht="15" hidden="false" customHeight="false" outlineLevel="0" collapsed="false">
      <c r="A69" s="3" t="s">
        <v>88</v>
      </c>
      <c r="B69" s="3" t="s">
        <v>72</v>
      </c>
      <c r="C69" s="3" t="n">
        <v>3</v>
      </c>
      <c r="D69" s="4" t="s">
        <v>34</v>
      </c>
      <c r="E69" s="3" t="s">
        <v>14</v>
      </c>
      <c r="F69" s="5" t="n">
        <v>114</v>
      </c>
      <c r="G69" s="6" t="n">
        <v>6085.52</v>
      </c>
      <c r="H69" s="6" t="n">
        <f aca="false">F69*G69</f>
        <v>693749.28</v>
      </c>
    </row>
    <row r="70" customFormat="false" ht="15" hidden="false" customHeight="false" outlineLevel="0" collapsed="false">
      <c r="A70" s="3" t="s">
        <v>89</v>
      </c>
      <c r="B70" s="3" t="s">
        <v>72</v>
      </c>
      <c r="C70" s="3" t="n">
        <v>3</v>
      </c>
      <c r="D70" s="4" t="s">
        <v>34</v>
      </c>
      <c r="E70" s="3" t="s">
        <v>16</v>
      </c>
      <c r="F70" s="5" t="n">
        <v>124</v>
      </c>
      <c r="G70" s="6" t="n">
        <v>6006.52</v>
      </c>
      <c r="H70" s="6" t="n">
        <f aca="false">F70*G70</f>
        <v>744808.48</v>
      </c>
    </row>
    <row r="71" customFormat="false" ht="15" hidden="false" customHeight="false" outlineLevel="0" collapsed="false">
      <c r="A71" s="3" t="s">
        <v>90</v>
      </c>
      <c r="B71" s="3" t="s">
        <v>72</v>
      </c>
      <c r="C71" s="3" t="n">
        <v>3</v>
      </c>
      <c r="D71" s="4" t="s">
        <v>34</v>
      </c>
      <c r="E71" s="3" t="s">
        <v>18</v>
      </c>
      <c r="F71" s="5" t="n">
        <v>89</v>
      </c>
      <c r="G71" s="6" t="n">
        <v>6618.63</v>
      </c>
      <c r="H71" s="6" t="n">
        <f aca="false">F71*G71</f>
        <v>589058.07</v>
      </c>
    </row>
    <row r="72" customFormat="false" ht="15" hidden="false" customHeight="false" outlineLevel="0" collapsed="false">
      <c r="A72" s="3" t="s">
        <v>91</v>
      </c>
      <c r="B72" s="3" t="s">
        <v>72</v>
      </c>
      <c r="C72" s="3" t="n">
        <v>3</v>
      </c>
      <c r="D72" s="4" t="s">
        <v>34</v>
      </c>
      <c r="E72" s="3" t="s">
        <v>20</v>
      </c>
      <c r="F72" s="5" t="n">
        <v>78</v>
      </c>
      <c r="G72" s="6" t="n">
        <v>6242.35</v>
      </c>
      <c r="H72" s="6" t="n">
        <f aca="false">F72*G72</f>
        <v>486903.3</v>
      </c>
    </row>
    <row r="73" customFormat="false" ht="15" hidden="false" customHeight="false" outlineLevel="0" collapsed="false">
      <c r="A73" s="3" t="s">
        <v>92</v>
      </c>
      <c r="B73" s="3" t="s">
        <v>72</v>
      </c>
      <c r="C73" s="3" t="n">
        <v>3</v>
      </c>
      <c r="D73" s="4" t="s">
        <v>40</v>
      </c>
      <c r="E73" s="3" t="s">
        <v>12</v>
      </c>
      <c r="F73" s="5" t="n">
        <v>120</v>
      </c>
      <c r="G73" s="6" t="n">
        <v>3032.63</v>
      </c>
      <c r="H73" s="6" t="n">
        <f aca="false">F73*G73</f>
        <v>363915.6</v>
      </c>
    </row>
    <row r="74" customFormat="false" ht="15" hidden="false" customHeight="false" outlineLevel="0" collapsed="false">
      <c r="A74" s="3" t="s">
        <v>93</v>
      </c>
      <c r="B74" s="3" t="s">
        <v>72</v>
      </c>
      <c r="C74" s="3" t="n">
        <v>3</v>
      </c>
      <c r="D74" s="4" t="s">
        <v>40</v>
      </c>
      <c r="E74" s="3" t="s">
        <v>14</v>
      </c>
      <c r="F74" s="5" t="n">
        <v>140</v>
      </c>
      <c r="G74" s="6" t="n">
        <v>3273.07</v>
      </c>
      <c r="H74" s="6" t="n">
        <f aca="false">F74*G74</f>
        <v>458229.8</v>
      </c>
    </row>
    <row r="75" customFormat="false" ht="15" hidden="false" customHeight="false" outlineLevel="0" collapsed="false">
      <c r="A75" s="3" t="s">
        <v>94</v>
      </c>
      <c r="B75" s="3" t="s">
        <v>72</v>
      </c>
      <c r="C75" s="3" t="n">
        <v>3</v>
      </c>
      <c r="D75" s="4" t="s">
        <v>40</v>
      </c>
      <c r="E75" s="3" t="s">
        <v>16</v>
      </c>
      <c r="F75" s="5" t="n">
        <v>110</v>
      </c>
      <c r="G75" s="6" t="n">
        <v>3083.13</v>
      </c>
      <c r="H75" s="6" t="n">
        <f aca="false">F75*G75</f>
        <v>339144.3</v>
      </c>
    </row>
    <row r="76" customFormat="false" ht="15" hidden="false" customHeight="false" outlineLevel="0" collapsed="false">
      <c r="A76" s="3" t="s">
        <v>95</v>
      </c>
      <c r="B76" s="3" t="s">
        <v>72</v>
      </c>
      <c r="C76" s="3" t="n">
        <v>3</v>
      </c>
      <c r="D76" s="4" t="s">
        <v>40</v>
      </c>
      <c r="E76" s="3" t="s">
        <v>18</v>
      </c>
      <c r="F76" s="5" t="n">
        <v>87</v>
      </c>
      <c r="G76" s="6" t="n">
        <v>2894.6</v>
      </c>
      <c r="H76" s="6" t="n">
        <f aca="false">F76*G76</f>
        <v>251830.2</v>
      </c>
    </row>
    <row r="77" customFormat="false" ht="15" hidden="false" customHeight="false" outlineLevel="0" collapsed="false">
      <c r="A77" s="3" t="s">
        <v>96</v>
      </c>
      <c r="B77" s="3" t="s">
        <v>72</v>
      </c>
      <c r="C77" s="3" t="n">
        <v>3</v>
      </c>
      <c r="D77" s="4" t="s">
        <v>40</v>
      </c>
      <c r="E77" s="3" t="s">
        <v>20</v>
      </c>
      <c r="F77" s="5" t="n">
        <v>76</v>
      </c>
      <c r="G77" s="6" t="n">
        <v>3021.95</v>
      </c>
      <c r="H77" s="6" t="n">
        <f aca="false">F77*G77</f>
        <v>229668.2</v>
      </c>
    </row>
    <row r="78" customFormat="false" ht="15" hidden="false" customHeight="false" outlineLevel="0" collapsed="false">
      <c r="A78" s="3" t="s">
        <v>97</v>
      </c>
      <c r="B78" s="3" t="s">
        <v>98</v>
      </c>
      <c r="C78" s="3" t="n">
        <v>4</v>
      </c>
      <c r="D78" s="4" t="s">
        <v>11</v>
      </c>
      <c r="E78" s="3" t="s">
        <v>12</v>
      </c>
      <c r="F78" s="5" t="n">
        <v>126</v>
      </c>
      <c r="G78" s="6" t="n">
        <v>2631.54</v>
      </c>
      <c r="H78" s="6" t="n">
        <f aca="false">F78*G78</f>
        <v>331574.04</v>
      </c>
    </row>
    <row r="79" customFormat="false" ht="15" hidden="false" customHeight="false" outlineLevel="0" collapsed="false">
      <c r="A79" s="3" t="s">
        <v>99</v>
      </c>
      <c r="B79" s="3" t="s">
        <v>98</v>
      </c>
      <c r="C79" s="3" t="n">
        <v>4</v>
      </c>
      <c r="D79" s="4" t="s">
        <v>11</v>
      </c>
      <c r="E79" s="3" t="s">
        <v>14</v>
      </c>
      <c r="F79" s="5" t="n">
        <v>143</v>
      </c>
      <c r="G79" s="6" t="n">
        <v>2309.24</v>
      </c>
      <c r="H79" s="6" t="n">
        <f aca="false">F79*G79</f>
        <v>330221.32</v>
      </c>
    </row>
    <row r="80" customFormat="false" ht="15" hidden="false" customHeight="false" outlineLevel="0" collapsed="false">
      <c r="A80" s="3" t="s">
        <v>100</v>
      </c>
      <c r="B80" s="3" t="s">
        <v>98</v>
      </c>
      <c r="C80" s="3" t="n">
        <v>4</v>
      </c>
      <c r="D80" s="4" t="s">
        <v>11</v>
      </c>
      <c r="E80" s="3" t="s">
        <v>16</v>
      </c>
      <c r="F80" s="5" t="n">
        <v>100</v>
      </c>
      <c r="G80" s="6" t="n">
        <v>2511.3</v>
      </c>
      <c r="H80" s="6" t="n">
        <f aca="false">F80*G80</f>
        <v>251130</v>
      </c>
    </row>
    <row r="81" customFormat="false" ht="15" hidden="false" customHeight="false" outlineLevel="0" collapsed="false">
      <c r="A81" s="3" t="s">
        <v>101</v>
      </c>
      <c r="B81" s="3" t="s">
        <v>98</v>
      </c>
      <c r="C81" s="3" t="n">
        <v>4</v>
      </c>
      <c r="D81" s="4" t="s">
        <v>11</v>
      </c>
      <c r="E81" s="3" t="s">
        <v>18</v>
      </c>
      <c r="F81" s="5" t="n">
        <v>88</v>
      </c>
      <c r="G81" s="6" t="n">
        <v>2517.27</v>
      </c>
      <c r="H81" s="6" t="n">
        <f aca="false">F81*G81</f>
        <v>221519.76</v>
      </c>
    </row>
    <row r="82" customFormat="false" ht="15" hidden="false" customHeight="false" outlineLevel="0" collapsed="false">
      <c r="A82" s="3" t="s">
        <v>102</v>
      </c>
      <c r="B82" s="3" t="s">
        <v>98</v>
      </c>
      <c r="C82" s="3" t="n">
        <v>4</v>
      </c>
      <c r="D82" s="4" t="s">
        <v>11</v>
      </c>
      <c r="E82" s="3" t="s">
        <v>20</v>
      </c>
      <c r="F82" s="5" t="n">
        <v>100</v>
      </c>
      <c r="G82" s="6" t="n">
        <v>2511.24</v>
      </c>
      <c r="H82" s="6" t="n">
        <f aca="false">F82*G82</f>
        <v>251124</v>
      </c>
    </row>
    <row r="83" customFormat="false" ht="15" hidden="false" customHeight="false" outlineLevel="0" collapsed="false">
      <c r="A83" s="3" t="s">
        <v>103</v>
      </c>
      <c r="B83" s="3" t="s">
        <v>98</v>
      </c>
      <c r="C83" s="3" t="n">
        <v>4</v>
      </c>
      <c r="D83" s="4" t="s">
        <v>22</v>
      </c>
      <c r="E83" s="3" t="s">
        <v>12</v>
      </c>
      <c r="F83" s="5" t="n">
        <v>153</v>
      </c>
      <c r="G83" s="6" t="n">
        <v>4444.15</v>
      </c>
      <c r="H83" s="6" t="n">
        <f aca="false">F83*G83</f>
        <v>679954.95</v>
      </c>
    </row>
    <row r="84" customFormat="false" ht="15" hidden="false" customHeight="false" outlineLevel="0" collapsed="false">
      <c r="A84" s="3" t="s">
        <v>104</v>
      </c>
      <c r="B84" s="3" t="s">
        <v>98</v>
      </c>
      <c r="C84" s="3" t="n">
        <v>4</v>
      </c>
      <c r="D84" s="4" t="s">
        <v>22</v>
      </c>
      <c r="E84" s="3" t="s">
        <v>14</v>
      </c>
      <c r="F84" s="5" t="n">
        <v>118</v>
      </c>
      <c r="G84" s="6" t="n">
        <v>4039.47</v>
      </c>
      <c r="H84" s="6" t="n">
        <f aca="false">F84*G84</f>
        <v>476657.46</v>
      </c>
    </row>
    <row r="85" customFormat="false" ht="15" hidden="false" customHeight="false" outlineLevel="0" collapsed="false">
      <c r="A85" s="3" t="s">
        <v>105</v>
      </c>
      <c r="B85" s="3" t="s">
        <v>98</v>
      </c>
      <c r="C85" s="3" t="n">
        <v>4</v>
      </c>
      <c r="D85" s="4" t="s">
        <v>22</v>
      </c>
      <c r="E85" s="3" t="s">
        <v>16</v>
      </c>
      <c r="F85" s="5" t="n">
        <v>125</v>
      </c>
      <c r="G85" s="6" t="n">
        <v>3976.25</v>
      </c>
      <c r="H85" s="6" t="n">
        <f aca="false">F85*G85</f>
        <v>497031.25</v>
      </c>
    </row>
    <row r="86" customFormat="false" ht="15" hidden="false" customHeight="false" outlineLevel="0" collapsed="false">
      <c r="A86" s="3" t="s">
        <v>106</v>
      </c>
      <c r="B86" s="3" t="s">
        <v>98</v>
      </c>
      <c r="C86" s="3" t="n">
        <v>4</v>
      </c>
      <c r="D86" s="4" t="s">
        <v>22</v>
      </c>
      <c r="E86" s="3" t="s">
        <v>18</v>
      </c>
      <c r="F86" s="5" t="n">
        <v>115</v>
      </c>
      <c r="G86" s="6" t="n">
        <v>4221.9</v>
      </c>
      <c r="H86" s="6" t="n">
        <f aca="false">F86*G86</f>
        <v>485518.5</v>
      </c>
    </row>
    <row r="87" customFormat="false" ht="15" hidden="false" customHeight="false" outlineLevel="0" collapsed="false">
      <c r="A87" s="3" t="s">
        <v>107</v>
      </c>
      <c r="B87" s="3" t="s">
        <v>98</v>
      </c>
      <c r="C87" s="3" t="n">
        <v>4</v>
      </c>
      <c r="D87" s="4" t="s">
        <v>22</v>
      </c>
      <c r="E87" s="3" t="s">
        <v>20</v>
      </c>
      <c r="F87" s="5" t="n">
        <v>77</v>
      </c>
      <c r="G87" s="6" t="n">
        <v>4085.53</v>
      </c>
      <c r="H87" s="6" t="n">
        <f aca="false">F87*G87</f>
        <v>314585.81</v>
      </c>
    </row>
    <row r="88" customFormat="false" ht="15" hidden="false" customHeight="false" outlineLevel="0" collapsed="false">
      <c r="A88" s="3" t="s">
        <v>108</v>
      </c>
      <c r="B88" s="3" t="s">
        <v>98</v>
      </c>
      <c r="C88" s="3" t="n">
        <v>4</v>
      </c>
      <c r="D88" s="4" t="s">
        <v>28</v>
      </c>
      <c r="E88" s="3" t="s">
        <v>12</v>
      </c>
      <c r="F88" s="5" t="n">
        <v>167</v>
      </c>
      <c r="G88" s="6" t="n">
        <v>1889.72</v>
      </c>
      <c r="H88" s="6" t="n">
        <f aca="false">F88*G88</f>
        <v>315583.24</v>
      </c>
    </row>
    <row r="89" customFormat="false" ht="15" hidden="false" customHeight="false" outlineLevel="0" collapsed="false">
      <c r="A89" s="3" t="s">
        <v>109</v>
      </c>
      <c r="B89" s="3" t="s">
        <v>98</v>
      </c>
      <c r="C89" s="3" t="n">
        <v>4</v>
      </c>
      <c r="D89" s="4" t="s">
        <v>28</v>
      </c>
      <c r="E89" s="3" t="s">
        <v>14</v>
      </c>
      <c r="F89" s="5" t="n">
        <v>137</v>
      </c>
      <c r="G89" s="6" t="n">
        <v>1901.56</v>
      </c>
      <c r="H89" s="6" t="n">
        <f aca="false">F89*G89</f>
        <v>260513.72</v>
      </c>
    </row>
    <row r="90" customFormat="false" ht="15" hidden="false" customHeight="false" outlineLevel="0" collapsed="false">
      <c r="A90" s="3" t="s">
        <v>110</v>
      </c>
      <c r="B90" s="3" t="s">
        <v>98</v>
      </c>
      <c r="C90" s="3" t="n">
        <v>4</v>
      </c>
      <c r="D90" s="4" t="s">
        <v>28</v>
      </c>
      <c r="E90" s="3" t="s">
        <v>16</v>
      </c>
      <c r="F90" s="5" t="n">
        <v>124</v>
      </c>
      <c r="G90" s="6" t="n">
        <v>1891.68</v>
      </c>
      <c r="H90" s="6" t="n">
        <f aca="false">F90*G90</f>
        <v>234568.32</v>
      </c>
    </row>
    <row r="91" customFormat="false" ht="15" hidden="false" customHeight="false" outlineLevel="0" collapsed="false">
      <c r="A91" s="3" t="s">
        <v>111</v>
      </c>
      <c r="B91" s="3" t="s">
        <v>98</v>
      </c>
      <c r="C91" s="3" t="n">
        <v>4</v>
      </c>
      <c r="D91" s="4" t="s">
        <v>28</v>
      </c>
      <c r="E91" s="3" t="s">
        <v>18</v>
      </c>
      <c r="F91" s="5" t="n">
        <v>105</v>
      </c>
      <c r="G91" s="6" t="n">
        <v>1721.3</v>
      </c>
      <c r="H91" s="6" t="n">
        <f aca="false">F91*G91</f>
        <v>180736.5</v>
      </c>
    </row>
    <row r="92" customFormat="false" ht="15" hidden="false" customHeight="false" outlineLevel="0" collapsed="false">
      <c r="A92" s="3" t="s">
        <v>112</v>
      </c>
      <c r="B92" s="3" t="s">
        <v>98</v>
      </c>
      <c r="C92" s="3" t="n">
        <v>4</v>
      </c>
      <c r="D92" s="4" t="s">
        <v>28</v>
      </c>
      <c r="E92" s="3" t="s">
        <v>20</v>
      </c>
      <c r="F92" s="5" t="n">
        <v>72</v>
      </c>
      <c r="G92" s="6" t="n">
        <v>1758.4</v>
      </c>
      <c r="H92" s="6" t="n">
        <f aca="false">F92*G92</f>
        <v>126604.8</v>
      </c>
    </row>
    <row r="93" customFormat="false" ht="15" hidden="false" customHeight="false" outlineLevel="0" collapsed="false">
      <c r="A93" s="3" t="s">
        <v>113</v>
      </c>
      <c r="B93" s="3" t="s">
        <v>98</v>
      </c>
      <c r="C93" s="3" t="n">
        <v>4</v>
      </c>
      <c r="D93" s="4" t="s">
        <v>34</v>
      </c>
      <c r="E93" s="3" t="s">
        <v>12</v>
      </c>
      <c r="F93" s="5" t="n">
        <v>132</v>
      </c>
      <c r="G93" s="6" t="n">
        <v>6009.05</v>
      </c>
      <c r="H93" s="6" t="n">
        <f aca="false">F93*G93</f>
        <v>793194.6</v>
      </c>
    </row>
    <row r="94" customFormat="false" ht="15" hidden="false" customHeight="false" outlineLevel="0" collapsed="false">
      <c r="A94" s="3" t="s">
        <v>114</v>
      </c>
      <c r="B94" s="3" t="s">
        <v>98</v>
      </c>
      <c r="C94" s="3" t="n">
        <v>4</v>
      </c>
      <c r="D94" s="4" t="s">
        <v>34</v>
      </c>
      <c r="E94" s="3" t="s">
        <v>14</v>
      </c>
      <c r="F94" s="5" t="n">
        <v>132</v>
      </c>
      <c r="G94" s="6" t="n">
        <v>6249.54</v>
      </c>
      <c r="H94" s="6" t="n">
        <f aca="false">F94*G94</f>
        <v>824939.28</v>
      </c>
    </row>
    <row r="95" customFormat="false" ht="15" hidden="false" customHeight="false" outlineLevel="0" collapsed="false">
      <c r="A95" s="3" t="s">
        <v>115</v>
      </c>
      <c r="B95" s="3" t="s">
        <v>98</v>
      </c>
      <c r="C95" s="3" t="n">
        <v>4</v>
      </c>
      <c r="D95" s="4" t="s">
        <v>34</v>
      </c>
      <c r="E95" s="3" t="s">
        <v>16</v>
      </c>
      <c r="F95" s="5" t="n">
        <v>112</v>
      </c>
      <c r="G95" s="6" t="n">
        <v>6974.78</v>
      </c>
      <c r="H95" s="6" t="n">
        <f aca="false">F95*G95</f>
        <v>781175.36</v>
      </c>
    </row>
    <row r="96" customFormat="false" ht="15" hidden="false" customHeight="false" outlineLevel="0" collapsed="false">
      <c r="A96" s="3" t="s">
        <v>116</v>
      </c>
      <c r="B96" s="3" t="s">
        <v>98</v>
      </c>
      <c r="C96" s="3" t="n">
        <v>4</v>
      </c>
      <c r="D96" s="4" t="s">
        <v>34</v>
      </c>
      <c r="E96" s="3" t="s">
        <v>18</v>
      </c>
      <c r="F96" s="5" t="n">
        <v>122</v>
      </c>
      <c r="G96" s="6" t="n">
        <v>6954.5</v>
      </c>
      <c r="H96" s="6" t="n">
        <f aca="false">F96*G96</f>
        <v>848449</v>
      </c>
    </row>
    <row r="97" customFormat="false" ht="15" hidden="false" customHeight="false" outlineLevel="0" collapsed="false">
      <c r="A97" s="3" t="s">
        <v>117</v>
      </c>
      <c r="B97" s="3" t="s">
        <v>98</v>
      </c>
      <c r="C97" s="3" t="n">
        <v>4</v>
      </c>
      <c r="D97" s="4" t="s">
        <v>34</v>
      </c>
      <c r="E97" s="3" t="s">
        <v>20</v>
      </c>
      <c r="F97" s="5" t="n">
        <v>82</v>
      </c>
      <c r="G97" s="6" t="n">
        <v>6973.2</v>
      </c>
      <c r="H97" s="6" t="n">
        <f aca="false">F97*G97</f>
        <v>571802.4</v>
      </c>
    </row>
    <row r="98" customFormat="false" ht="15" hidden="false" customHeight="false" outlineLevel="0" collapsed="false">
      <c r="A98" s="3" t="s">
        <v>118</v>
      </c>
      <c r="B98" s="3" t="s">
        <v>98</v>
      </c>
      <c r="C98" s="3" t="n">
        <v>4</v>
      </c>
      <c r="D98" s="4" t="s">
        <v>40</v>
      </c>
      <c r="E98" s="3" t="s">
        <v>12</v>
      </c>
      <c r="F98" s="5" t="n">
        <v>130</v>
      </c>
      <c r="G98" s="6" t="n">
        <v>2961.35</v>
      </c>
      <c r="H98" s="6" t="n">
        <f aca="false">F98*G98</f>
        <v>384975.5</v>
      </c>
    </row>
    <row r="99" customFormat="false" ht="15" hidden="false" customHeight="false" outlineLevel="0" collapsed="false">
      <c r="A99" s="3" t="s">
        <v>119</v>
      </c>
      <c r="B99" s="3" t="s">
        <v>98</v>
      </c>
      <c r="C99" s="3" t="n">
        <v>4</v>
      </c>
      <c r="D99" s="4" t="s">
        <v>40</v>
      </c>
      <c r="E99" s="3" t="s">
        <v>14</v>
      </c>
      <c r="F99" s="5" t="n">
        <v>111</v>
      </c>
      <c r="G99" s="6" t="n">
        <v>2949.57</v>
      </c>
      <c r="H99" s="6" t="n">
        <f aca="false">F99*G99</f>
        <v>327402.27</v>
      </c>
    </row>
    <row r="100" customFormat="false" ht="15" hidden="false" customHeight="false" outlineLevel="0" collapsed="false">
      <c r="A100" s="3" t="s">
        <v>120</v>
      </c>
      <c r="B100" s="3" t="s">
        <v>98</v>
      </c>
      <c r="C100" s="3" t="n">
        <v>4</v>
      </c>
      <c r="D100" s="4" t="s">
        <v>40</v>
      </c>
      <c r="E100" s="3" t="s">
        <v>16</v>
      </c>
      <c r="F100" s="5" t="n">
        <v>130</v>
      </c>
      <c r="G100" s="6" t="n">
        <v>3161.54</v>
      </c>
      <c r="H100" s="6" t="n">
        <f aca="false">F100*G100</f>
        <v>411000.2</v>
      </c>
    </row>
    <row r="101" customFormat="false" ht="15" hidden="false" customHeight="false" outlineLevel="0" collapsed="false">
      <c r="A101" s="3" t="s">
        <v>121</v>
      </c>
      <c r="B101" s="3" t="s">
        <v>98</v>
      </c>
      <c r="C101" s="3" t="n">
        <v>4</v>
      </c>
      <c r="D101" s="4" t="s">
        <v>40</v>
      </c>
      <c r="E101" s="3" t="s">
        <v>18</v>
      </c>
      <c r="F101" s="5" t="n">
        <v>104</v>
      </c>
      <c r="G101" s="6" t="n">
        <v>3268.86</v>
      </c>
      <c r="H101" s="6" t="n">
        <f aca="false">F101*G101</f>
        <v>339961.44</v>
      </c>
    </row>
    <row r="102" customFormat="false" ht="15" hidden="false" customHeight="false" outlineLevel="0" collapsed="false">
      <c r="A102" s="3" t="s">
        <v>122</v>
      </c>
      <c r="B102" s="3" t="s">
        <v>98</v>
      </c>
      <c r="C102" s="3" t="n">
        <v>4</v>
      </c>
      <c r="D102" s="4" t="s">
        <v>40</v>
      </c>
      <c r="E102" s="3" t="s">
        <v>20</v>
      </c>
      <c r="F102" s="5" t="n">
        <v>94</v>
      </c>
      <c r="G102" s="6" t="n">
        <v>3175.88</v>
      </c>
      <c r="H102" s="6" t="n">
        <f aca="false">F102*G102</f>
        <v>298532.72</v>
      </c>
    </row>
    <row r="103" customFormat="false" ht="15" hidden="false" customHeight="false" outlineLevel="0" collapsed="false">
      <c r="A103" s="3" t="s">
        <v>123</v>
      </c>
      <c r="B103" s="3" t="s">
        <v>124</v>
      </c>
      <c r="C103" s="3" t="n">
        <v>5</v>
      </c>
      <c r="D103" s="4" t="s">
        <v>11</v>
      </c>
      <c r="E103" s="3" t="s">
        <v>12</v>
      </c>
      <c r="F103" s="5" t="n">
        <v>156</v>
      </c>
      <c r="G103" s="6" t="n">
        <v>2333.91</v>
      </c>
      <c r="H103" s="6" t="n">
        <f aca="false">F103*G103</f>
        <v>364089.96</v>
      </c>
    </row>
    <row r="104" customFormat="false" ht="15" hidden="false" customHeight="false" outlineLevel="0" collapsed="false">
      <c r="A104" s="3" t="s">
        <v>125</v>
      </c>
      <c r="B104" s="3" t="s">
        <v>124</v>
      </c>
      <c r="C104" s="3" t="n">
        <v>5</v>
      </c>
      <c r="D104" s="4" t="s">
        <v>11</v>
      </c>
      <c r="E104" s="3" t="s">
        <v>14</v>
      </c>
      <c r="F104" s="5" t="n">
        <v>141</v>
      </c>
      <c r="G104" s="6" t="n">
        <v>2663.91</v>
      </c>
      <c r="H104" s="6" t="n">
        <f aca="false">F104*G104</f>
        <v>375611.31</v>
      </c>
    </row>
    <row r="105" customFormat="false" ht="15" hidden="false" customHeight="false" outlineLevel="0" collapsed="false">
      <c r="A105" s="3" t="s">
        <v>126</v>
      </c>
      <c r="B105" s="3" t="s">
        <v>124</v>
      </c>
      <c r="C105" s="3" t="n">
        <v>5</v>
      </c>
      <c r="D105" s="4" t="s">
        <v>11</v>
      </c>
      <c r="E105" s="3" t="s">
        <v>16</v>
      </c>
      <c r="F105" s="5" t="n">
        <v>118</v>
      </c>
      <c r="G105" s="6" t="n">
        <v>2600.06</v>
      </c>
      <c r="H105" s="6" t="n">
        <f aca="false">F105*G105</f>
        <v>306807.08</v>
      </c>
    </row>
    <row r="106" customFormat="false" ht="15" hidden="false" customHeight="false" outlineLevel="0" collapsed="false">
      <c r="A106" s="3" t="s">
        <v>127</v>
      </c>
      <c r="B106" s="3" t="s">
        <v>124</v>
      </c>
      <c r="C106" s="3" t="n">
        <v>5</v>
      </c>
      <c r="D106" s="4" t="s">
        <v>11</v>
      </c>
      <c r="E106" s="3" t="s">
        <v>18</v>
      </c>
      <c r="F106" s="5" t="n">
        <v>119</v>
      </c>
      <c r="G106" s="6" t="n">
        <v>2371.41</v>
      </c>
      <c r="H106" s="6" t="n">
        <f aca="false">F106*G106</f>
        <v>282197.79</v>
      </c>
    </row>
    <row r="107" customFormat="false" ht="15" hidden="false" customHeight="false" outlineLevel="0" collapsed="false">
      <c r="A107" s="3" t="s">
        <v>128</v>
      </c>
      <c r="B107" s="3" t="s">
        <v>124</v>
      </c>
      <c r="C107" s="3" t="n">
        <v>5</v>
      </c>
      <c r="D107" s="4" t="s">
        <v>11</v>
      </c>
      <c r="E107" s="3" t="s">
        <v>20</v>
      </c>
      <c r="F107" s="5" t="n">
        <v>98</v>
      </c>
      <c r="G107" s="6" t="n">
        <v>2433.01</v>
      </c>
      <c r="H107" s="6" t="n">
        <f aca="false">F107*G107</f>
        <v>238434.98</v>
      </c>
    </row>
    <row r="108" customFormat="false" ht="15" hidden="false" customHeight="false" outlineLevel="0" collapsed="false">
      <c r="A108" s="3" t="s">
        <v>129</v>
      </c>
      <c r="B108" s="3" t="s">
        <v>124</v>
      </c>
      <c r="C108" s="3" t="n">
        <v>5</v>
      </c>
      <c r="D108" s="4" t="s">
        <v>22</v>
      </c>
      <c r="E108" s="3" t="s">
        <v>12</v>
      </c>
      <c r="F108" s="5" t="n">
        <v>143</v>
      </c>
      <c r="G108" s="6" t="n">
        <v>4516.95</v>
      </c>
      <c r="H108" s="6" t="n">
        <f aca="false">F108*G108</f>
        <v>645923.85</v>
      </c>
    </row>
    <row r="109" customFormat="false" ht="15" hidden="false" customHeight="false" outlineLevel="0" collapsed="false">
      <c r="A109" s="3" t="s">
        <v>130</v>
      </c>
      <c r="B109" s="3" t="s">
        <v>124</v>
      </c>
      <c r="C109" s="3" t="n">
        <v>5</v>
      </c>
      <c r="D109" s="4" t="s">
        <v>22</v>
      </c>
      <c r="E109" s="3" t="s">
        <v>14</v>
      </c>
      <c r="F109" s="5" t="n">
        <v>148</v>
      </c>
      <c r="G109" s="6" t="n">
        <v>4133.73</v>
      </c>
      <c r="H109" s="6" t="n">
        <f aca="false">F109*G109</f>
        <v>611792.04</v>
      </c>
    </row>
    <row r="110" customFormat="false" ht="15" hidden="false" customHeight="false" outlineLevel="0" collapsed="false">
      <c r="A110" s="3" t="s">
        <v>131</v>
      </c>
      <c r="B110" s="3" t="s">
        <v>124</v>
      </c>
      <c r="C110" s="3" t="n">
        <v>5</v>
      </c>
      <c r="D110" s="4" t="s">
        <v>22</v>
      </c>
      <c r="E110" s="3" t="s">
        <v>16</v>
      </c>
      <c r="F110" s="5" t="n">
        <v>105</v>
      </c>
      <c r="G110" s="6" t="n">
        <v>4351.06</v>
      </c>
      <c r="H110" s="6" t="n">
        <f aca="false">F110*G110</f>
        <v>456861.3</v>
      </c>
    </row>
    <row r="111" customFormat="false" ht="15" hidden="false" customHeight="false" outlineLevel="0" collapsed="false">
      <c r="A111" s="3" t="s">
        <v>132</v>
      </c>
      <c r="B111" s="3" t="s">
        <v>124</v>
      </c>
      <c r="C111" s="3" t="n">
        <v>5</v>
      </c>
      <c r="D111" s="4" t="s">
        <v>22</v>
      </c>
      <c r="E111" s="3" t="s">
        <v>18</v>
      </c>
      <c r="F111" s="5" t="n">
        <v>96</v>
      </c>
      <c r="G111" s="6" t="n">
        <v>3949.37</v>
      </c>
      <c r="H111" s="6" t="n">
        <f aca="false">F111*G111</f>
        <v>379139.52</v>
      </c>
    </row>
    <row r="112" customFormat="false" ht="15" hidden="false" customHeight="false" outlineLevel="0" collapsed="false">
      <c r="A112" s="3" t="s">
        <v>133</v>
      </c>
      <c r="B112" s="3" t="s">
        <v>124</v>
      </c>
      <c r="C112" s="3" t="n">
        <v>5</v>
      </c>
      <c r="D112" s="4" t="s">
        <v>22</v>
      </c>
      <c r="E112" s="3" t="s">
        <v>20</v>
      </c>
      <c r="F112" s="5" t="n">
        <v>98</v>
      </c>
      <c r="G112" s="6" t="n">
        <v>4472.06</v>
      </c>
      <c r="H112" s="6" t="n">
        <f aca="false">F112*G112</f>
        <v>438261.88</v>
      </c>
    </row>
    <row r="113" customFormat="false" ht="15" hidden="false" customHeight="false" outlineLevel="0" collapsed="false">
      <c r="A113" s="3" t="s">
        <v>134</v>
      </c>
      <c r="B113" s="3" t="s">
        <v>124</v>
      </c>
      <c r="C113" s="3" t="n">
        <v>5</v>
      </c>
      <c r="D113" s="4" t="s">
        <v>28</v>
      </c>
      <c r="E113" s="3" t="s">
        <v>12</v>
      </c>
      <c r="F113" s="5" t="n">
        <v>165</v>
      </c>
      <c r="G113" s="6" t="n">
        <v>1698.1</v>
      </c>
      <c r="H113" s="6" t="n">
        <f aca="false">F113*G113</f>
        <v>280186.5</v>
      </c>
    </row>
    <row r="114" customFormat="false" ht="15" hidden="false" customHeight="false" outlineLevel="0" collapsed="false">
      <c r="A114" s="3" t="s">
        <v>135</v>
      </c>
      <c r="B114" s="3" t="s">
        <v>124</v>
      </c>
      <c r="C114" s="3" t="n">
        <v>5</v>
      </c>
      <c r="D114" s="4" t="s">
        <v>28</v>
      </c>
      <c r="E114" s="3" t="s">
        <v>14</v>
      </c>
      <c r="F114" s="5" t="n">
        <v>135</v>
      </c>
      <c r="G114" s="6" t="n">
        <v>1938.33</v>
      </c>
      <c r="H114" s="6" t="n">
        <f aca="false">F114*G114</f>
        <v>261674.55</v>
      </c>
    </row>
    <row r="115" customFormat="false" ht="15" hidden="false" customHeight="false" outlineLevel="0" collapsed="false">
      <c r="A115" s="3" t="s">
        <v>136</v>
      </c>
      <c r="B115" s="3" t="s">
        <v>124</v>
      </c>
      <c r="C115" s="3" t="n">
        <v>5</v>
      </c>
      <c r="D115" s="4" t="s">
        <v>28</v>
      </c>
      <c r="E115" s="3" t="s">
        <v>16</v>
      </c>
      <c r="F115" s="5" t="n">
        <v>120</v>
      </c>
      <c r="G115" s="6" t="n">
        <v>1756.92</v>
      </c>
      <c r="H115" s="6" t="n">
        <f aca="false">F115*G115</f>
        <v>210830.4</v>
      </c>
    </row>
    <row r="116" customFormat="false" ht="15" hidden="false" customHeight="false" outlineLevel="0" collapsed="false">
      <c r="A116" s="3" t="s">
        <v>137</v>
      </c>
      <c r="B116" s="3" t="s">
        <v>124</v>
      </c>
      <c r="C116" s="3" t="n">
        <v>5</v>
      </c>
      <c r="D116" s="4" t="s">
        <v>28</v>
      </c>
      <c r="E116" s="3" t="s">
        <v>18</v>
      </c>
      <c r="F116" s="5" t="n">
        <v>90</v>
      </c>
      <c r="G116" s="6" t="n">
        <v>1693.72</v>
      </c>
      <c r="H116" s="6" t="n">
        <f aca="false">F116*G116</f>
        <v>152434.8</v>
      </c>
    </row>
    <row r="117" customFormat="false" ht="15" hidden="false" customHeight="false" outlineLevel="0" collapsed="false">
      <c r="A117" s="3" t="s">
        <v>138</v>
      </c>
      <c r="B117" s="3" t="s">
        <v>124</v>
      </c>
      <c r="C117" s="3" t="n">
        <v>5</v>
      </c>
      <c r="D117" s="4" t="s">
        <v>28</v>
      </c>
      <c r="E117" s="3" t="s">
        <v>20</v>
      </c>
      <c r="F117" s="5" t="n">
        <v>93</v>
      </c>
      <c r="G117" s="6" t="n">
        <v>1935.62</v>
      </c>
      <c r="H117" s="6" t="n">
        <f aca="false">F117*G117</f>
        <v>180012.66</v>
      </c>
    </row>
    <row r="118" customFormat="false" ht="15" hidden="false" customHeight="false" outlineLevel="0" collapsed="false">
      <c r="A118" s="3" t="s">
        <v>139</v>
      </c>
      <c r="B118" s="3" t="s">
        <v>124</v>
      </c>
      <c r="C118" s="3" t="n">
        <v>5</v>
      </c>
      <c r="D118" s="4" t="s">
        <v>34</v>
      </c>
      <c r="E118" s="3" t="s">
        <v>12</v>
      </c>
      <c r="F118" s="5" t="n">
        <v>170</v>
      </c>
      <c r="G118" s="6" t="n">
        <v>6527.64</v>
      </c>
      <c r="H118" s="6" t="n">
        <f aca="false">F118*G118</f>
        <v>1109698.8</v>
      </c>
    </row>
    <row r="119" customFormat="false" ht="15" hidden="false" customHeight="false" outlineLevel="0" collapsed="false">
      <c r="A119" s="3" t="s">
        <v>140</v>
      </c>
      <c r="B119" s="3" t="s">
        <v>124</v>
      </c>
      <c r="C119" s="3" t="n">
        <v>5</v>
      </c>
      <c r="D119" s="4" t="s">
        <v>34</v>
      </c>
      <c r="E119" s="3" t="s">
        <v>14</v>
      </c>
      <c r="F119" s="5" t="n">
        <v>145</v>
      </c>
      <c r="G119" s="6" t="n">
        <v>6431.16</v>
      </c>
      <c r="H119" s="6" t="n">
        <f aca="false">F119*G119</f>
        <v>932518.2</v>
      </c>
    </row>
    <row r="120" customFormat="false" ht="15" hidden="false" customHeight="false" outlineLevel="0" collapsed="false">
      <c r="A120" s="3" t="s">
        <v>141</v>
      </c>
      <c r="B120" s="3" t="s">
        <v>124</v>
      </c>
      <c r="C120" s="3" t="n">
        <v>5</v>
      </c>
      <c r="D120" s="4" t="s">
        <v>34</v>
      </c>
      <c r="E120" s="3" t="s">
        <v>16</v>
      </c>
      <c r="F120" s="5" t="n">
        <v>107</v>
      </c>
      <c r="G120" s="6" t="n">
        <v>6839.2</v>
      </c>
      <c r="H120" s="6" t="n">
        <f aca="false">F120*G120</f>
        <v>731794.4</v>
      </c>
    </row>
    <row r="121" customFormat="false" ht="15" hidden="false" customHeight="false" outlineLevel="0" collapsed="false">
      <c r="A121" s="3" t="s">
        <v>142</v>
      </c>
      <c r="B121" s="3" t="s">
        <v>124</v>
      </c>
      <c r="C121" s="3" t="n">
        <v>5</v>
      </c>
      <c r="D121" s="4" t="s">
        <v>34</v>
      </c>
      <c r="E121" s="3" t="s">
        <v>18</v>
      </c>
      <c r="F121" s="5" t="n">
        <v>101</v>
      </c>
      <c r="G121" s="6" t="n">
        <v>6241.91</v>
      </c>
      <c r="H121" s="6" t="n">
        <f aca="false">F121*G121</f>
        <v>630432.91</v>
      </c>
    </row>
    <row r="122" customFormat="false" ht="15" hidden="false" customHeight="false" outlineLevel="0" collapsed="false">
      <c r="A122" s="3" t="s">
        <v>143</v>
      </c>
      <c r="B122" s="3" t="s">
        <v>124</v>
      </c>
      <c r="C122" s="3" t="n">
        <v>5</v>
      </c>
      <c r="D122" s="4" t="s">
        <v>34</v>
      </c>
      <c r="E122" s="3" t="s">
        <v>20</v>
      </c>
      <c r="F122" s="5" t="n">
        <v>91</v>
      </c>
      <c r="G122" s="6" t="n">
        <v>6230.16</v>
      </c>
      <c r="H122" s="6" t="n">
        <f aca="false">F122*G122</f>
        <v>566944.56</v>
      </c>
    </row>
    <row r="123" customFormat="false" ht="15" hidden="false" customHeight="false" outlineLevel="0" collapsed="false">
      <c r="A123" s="3" t="s">
        <v>144</v>
      </c>
      <c r="B123" s="3" t="s">
        <v>124</v>
      </c>
      <c r="C123" s="3" t="n">
        <v>5</v>
      </c>
      <c r="D123" s="4" t="s">
        <v>40</v>
      </c>
      <c r="E123" s="3" t="s">
        <v>12</v>
      </c>
      <c r="F123" s="5" t="n">
        <v>144</v>
      </c>
      <c r="G123" s="6" t="n">
        <v>2980.64</v>
      </c>
      <c r="H123" s="6" t="n">
        <f aca="false">F123*G123</f>
        <v>429212.16</v>
      </c>
    </row>
    <row r="124" customFormat="false" ht="15" hidden="false" customHeight="false" outlineLevel="0" collapsed="false">
      <c r="A124" s="3" t="s">
        <v>145</v>
      </c>
      <c r="B124" s="3" t="s">
        <v>124</v>
      </c>
      <c r="C124" s="3" t="n">
        <v>5</v>
      </c>
      <c r="D124" s="4" t="s">
        <v>40</v>
      </c>
      <c r="E124" s="3" t="s">
        <v>14</v>
      </c>
      <c r="F124" s="5" t="n">
        <v>146</v>
      </c>
      <c r="G124" s="6" t="n">
        <v>2917.01</v>
      </c>
      <c r="H124" s="6" t="n">
        <f aca="false">F124*G124</f>
        <v>425883.46</v>
      </c>
    </row>
    <row r="125" customFormat="false" ht="15" hidden="false" customHeight="false" outlineLevel="0" collapsed="false">
      <c r="A125" s="3" t="s">
        <v>146</v>
      </c>
      <c r="B125" s="3" t="s">
        <v>124</v>
      </c>
      <c r="C125" s="3" t="n">
        <v>5</v>
      </c>
      <c r="D125" s="4" t="s">
        <v>40</v>
      </c>
      <c r="E125" s="3" t="s">
        <v>16</v>
      </c>
      <c r="F125" s="5" t="n">
        <v>117</v>
      </c>
      <c r="G125" s="6" t="n">
        <v>3027.48</v>
      </c>
      <c r="H125" s="6" t="n">
        <f aca="false">F125*G125</f>
        <v>354215.16</v>
      </c>
    </row>
    <row r="126" customFormat="false" ht="15" hidden="false" customHeight="false" outlineLevel="0" collapsed="false">
      <c r="A126" s="3" t="s">
        <v>147</v>
      </c>
      <c r="B126" s="3" t="s">
        <v>124</v>
      </c>
      <c r="C126" s="3" t="n">
        <v>5</v>
      </c>
      <c r="D126" s="4" t="s">
        <v>40</v>
      </c>
      <c r="E126" s="3" t="s">
        <v>18</v>
      </c>
      <c r="F126" s="5" t="n">
        <v>124</v>
      </c>
      <c r="G126" s="6" t="n">
        <v>3141.34</v>
      </c>
      <c r="H126" s="6" t="n">
        <f aca="false">F126*G126</f>
        <v>389526.16</v>
      </c>
    </row>
    <row r="127" customFormat="false" ht="15" hidden="false" customHeight="false" outlineLevel="0" collapsed="false">
      <c r="A127" s="3" t="s">
        <v>148</v>
      </c>
      <c r="B127" s="3" t="s">
        <v>124</v>
      </c>
      <c r="C127" s="3" t="n">
        <v>5</v>
      </c>
      <c r="D127" s="4" t="s">
        <v>40</v>
      </c>
      <c r="E127" s="3" t="s">
        <v>20</v>
      </c>
      <c r="F127" s="5" t="n">
        <v>101</v>
      </c>
      <c r="G127" s="6" t="n">
        <v>3060.63</v>
      </c>
      <c r="H127" s="6" t="n">
        <f aca="false">F127*G127</f>
        <v>309123.63</v>
      </c>
    </row>
    <row r="128" customFormat="false" ht="15" hidden="false" customHeight="false" outlineLevel="0" collapsed="false">
      <c r="A128" s="3" t="s">
        <v>149</v>
      </c>
      <c r="B128" s="3" t="s">
        <v>150</v>
      </c>
      <c r="C128" s="3" t="n">
        <v>6</v>
      </c>
      <c r="D128" s="4" t="s">
        <v>11</v>
      </c>
      <c r="E128" s="3" t="s">
        <v>12</v>
      </c>
      <c r="F128" s="5" t="n">
        <v>155</v>
      </c>
      <c r="G128" s="6" t="n">
        <v>2500.66</v>
      </c>
      <c r="H128" s="6" t="n">
        <f aca="false">F128*G128</f>
        <v>387602.3</v>
      </c>
    </row>
    <row r="129" customFormat="false" ht="15" hidden="false" customHeight="false" outlineLevel="0" collapsed="false">
      <c r="A129" s="3" t="s">
        <v>151</v>
      </c>
      <c r="B129" s="3" t="s">
        <v>150</v>
      </c>
      <c r="C129" s="3" t="n">
        <v>6</v>
      </c>
      <c r="D129" s="4" t="s">
        <v>11</v>
      </c>
      <c r="E129" s="3" t="s">
        <v>14</v>
      </c>
      <c r="F129" s="5" t="n">
        <v>111</v>
      </c>
      <c r="G129" s="6" t="n">
        <v>2509.4</v>
      </c>
      <c r="H129" s="6" t="n">
        <f aca="false">F129*G129</f>
        <v>278543.4</v>
      </c>
    </row>
    <row r="130" customFormat="false" ht="15" hidden="false" customHeight="false" outlineLevel="0" collapsed="false">
      <c r="A130" s="3" t="s">
        <v>152</v>
      </c>
      <c r="B130" s="3" t="s">
        <v>150</v>
      </c>
      <c r="C130" s="3" t="n">
        <v>6</v>
      </c>
      <c r="D130" s="4" t="s">
        <v>11</v>
      </c>
      <c r="E130" s="3" t="s">
        <v>16</v>
      </c>
      <c r="F130" s="5" t="n">
        <v>109</v>
      </c>
      <c r="G130" s="6" t="n">
        <v>2476.05</v>
      </c>
      <c r="H130" s="6" t="n">
        <f aca="false">F130*G130</f>
        <v>269889.45</v>
      </c>
    </row>
    <row r="131" customFormat="false" ht="15" hidden="false" customHeight="false" outlineLevel="0" collapsed="false">
      <c r="A131" s="3" t="s">
        <v>153</v>
      </c>
      <c r="B131" s="3" t="s">
        <v>150</v>
      </c>
      <c r="C131" s="3" t="n">
        <v>6</v>
      </c>
      <c r="D131" s="4" t="s">
        <v>11</v>
      </c>
      <c r="E131" s="3" t="s">
        <v>18</v>
      </c>
      <c r="F131" s="5" t="n">
        <v>124</v>
      </c>
      <c r="G131" s="6" t="n">
        <v>2301.57</v>
      </c>
      <c r="H131" s="6" t="n">
        <f aca="false">F131*G131</f>
        <v>285394.68</v>
      </c>
    </row>
    <row r="132" customFormat="false" ht="15" hidden="false" customHeight="false" outlineLevel="0" collapsed="false">
      <c r="A132" s="3" t="s">
        <v>154</v>
      </c>
      <c r="B132" s="3" t="s">
        <v>150</v>
      </c>
      <c r="C132" s="3" t="n">
        <v>6</v>
      </c>
      <c r="D132" s="4" t="s">
        <v>11</v>
      </c>
      <c r="E132" s="3" t="s">
        <v>20</v>
      </c>
      <c r="F132" s="5" t="n">
        <v>91</v>
      </c>
      <c r="G132" s="6" t="n">
        <v>2368.94</v>
      </c>
      <c r="H132" s="6" t="n">
        <f aca="false">F132*G132</f>
        <v>215573.54</v>
      </c>
    </row>
    <row r="133" customFormat="false" ht="15" hidden="false" customHeight="false" outlineLevel="0" collapsed="false">
      <c r="A133" s="3" t="s">
        <v>155</v>
      </c>
      <c r="B133" s="3" t="s">
        <v>150</v>
      </c>
      <c r="C133" s="3" t="n">
        <v>6</v>
      </c>
      <c r="D133" s="4" t="s">
        <v>22</v>
      </c>
      <c r="E133" s="3" t="s">
        <v>12</v>
      </c>
      <c r="F133" s="5" t="n">
        <v>156</v>
      </c>
      <c r="G133" s="6" t="n">
        <v>4351.33</v>
      </c>
      <c r="H133" s="6" t="n">
        <f aca="false">F133*G133</f>
        <v>678807.48</v>
      </c>
    </row>
    <row r="134" customFormat="false" ht="15" hidden="false" customHeight="false" outlineLevel="0" collapsed="false">
      <c r="A134" s="3" t="s">
        <v>156</v>
      </c>
      <c r="B134" s="3" t="s">
        <v>150</v>
      </c>
      <c r="C134" s="3" t="n">
        <v>6</v>
      </c>
      <c r="D134" s="4" t="s">
        <v>22</v>
      </c>
      <c r="E134" s="3" t="s">
        <v>14</v>
      </c>
      <c r="F134" s="5" t="n">
        <v>134</v>
      </c>
      <c r="G134" s="6" t="n">
        <v>4083.06</v>
      </c>
      <c r="H134" s="6" t="n">
        <f aca="false">F134*G134</f>
        <v>547130.04</v>
      </c>
    </row>
    <row r="135" customFormat="false" ht="15" hidden="false" customHeight="false" outlineLevel="0" collapsed="false">
      <c r="A135" s="3" t="s">
        <v>157</v>
      </c>
      <c r="B135" s="3" t="s">
        <v>150</v>
      </c>
      <c r="C135" s="3" t="n">
        <v>6</v>
      </c>
      <c r="D135" s="4" t="s">
        <v>22</v>
      </c>
      <c r="E135" s="3" t="s">
        <v>16</v>
      </c>
      <c r="F135" s="5" t="n">
        <v>134</v>
      </c>
      <c r="G135" s="6" t="n">
        <v>4237.26</v>
      </c>
      <c r="H135" s="6" t="n">
        <f aca="false">F135*G135</f>
        <v>567792.84</v>
      </c>
    </row>
    <row r="136" customFormat="false" ht="15" hidden="false" customHeight="false" outlineLevel="0" collapsed="false">
      <c r="A136" s="3" t="s">
        <v>158</v>
      </c>
      <c r="B136" s="3" t="s">
        <v>150</v>
      </c>
      <c r="C136" s="3" t="n">
        <v>6</v>
      </c>
      <c r="D136" s="4" t="s">
        <v>22</v>
      </c>
      <c r="E136" s="3" t="s">
        <v>18</v>
      </c>
      <c r="F136" s="5" t="n">
        <v>115</v>
      </c>
      <c r="G136" s="6" t="n">
        <v>3935.31</v>
      </c>
      <c r="H136" s="6" t="n">
        <f aca="false">F136*G136</f>
        <v>452560.65</v>
      </c>
    </row>
    <row r="137" customFormat="false" ht="15" hidden="false" customHeight="false" outlineLevel="0" collapsed="false">
      <c r="A137" s="3" t="s">
        <v>159</v>
      </c>
      <c r="B137" s="3" t="s">
        <v>150</v>
      </c>
      <c r="C137" s="3" t="n">
        <v>6</v>
      </c>
      <c r="D137" s="4" t="s">
        <v>22</v>
      </c>
      <c r="E137" s="3" t="s">
        <v>20</v>
      </c>
      <c r="F137" s="5" t="n">
        <v>85</v>
      </c>
      <c r="G137" s="6" t="n">
        <v>4030.99</v>
      </c>
      <c r="H137" s="6" t="n">
        <f aca="false">F137*G137</f>
        <v>342634.15</v>
      </c>
    </row>
    <row r="138" customFormat="false" ht="15" hidden="false" customHeight="false" outlineLevel="0" collapsed="false">
      <c r="A138" s="3" t="s">
        <v>160</v>
      </c>
      <c r="B138" s="3" t="s">
        <v>150</v>
      </c>
      <c r="C138" s="3" t="n">
        <v>6</v>
      </c>
      <c r="D138" s="4" t="s">
        <v>28</v>
      </c>
      <c r="E138" s="3" t="s">
        <v>12</v>
      </c>
      <c r="F138" s="5" t="n">
        <v>154</v>
      </c>
      <c r="G138" s="6" t="n">
        <v>1878.41</v>
      </c>
      <c r="H138" s="6" t="n">
        <f aca="false">F138*G138</f>
        <v>289275.14</v>
      </c>
    </row>
    <row r="139" customFormat="false" ht="15" hidden="false" customHeight="false" outlineLevel="0" collapsed="false">
      <c r="A139" s="3" t="s">
        <v>161</v>
      </c>
      <c r="B139" s="3" t="s">
        <v>150</v>
      </c>
      <c r="C139" s="3" t="n">
        <v>6</v>
      </c>
      <c r="D139" s="4" t="s">
        <v>28</v>
      </c>
      <c r="E139" s="3" t="s">
        <v>14</v>
      </c>
      <c r="F139" s="5" t="n">
        <v>145</v>
      </c>
      <c r="G139" s="6" t="n">
        <v>1817.78</v>
      </c>
      <c r="H139" s="6" t="n">
        <f aca="false">F139*G139</f>
        <v>263578.1</v>
      </c>
    </row>
    <row r="140" customFormat="false" ht="15" hidden="false" customHeight="false" outlineLevel="0" collapsed="false">
      <c r="A140" s="3" t="s">
        <v>162</v>
      </c>
      <c r="B140" s="3" t="s">
        <v>150</v>
      </c>
      <c r="C140" s="3" t="n">
        <v>6</v>
      </c>
      <c r="D140" s="4" t="s">
        <v>28</v>
      </c>
      <c r="E140" s="3" t="s">
        <v>16</v>
      </c>
      <c r="F140" s="5" t="n">
        <v>120</v>
      </c>
      <c r="G140" s="6" t="n">
        <v>1918.8</v>
      </c>
      <c r="H140" s="6" t="n">
        <f aca="false">F140*G140</f>
        <v>230256</v>
      </c>
    </row>
    <row r="141" customFormat="false" ht="15" hidden="false" customHeight="false" outlineLevel="0" collapsed="false">
      <c r="A141" s="3" t="s">
        <v>163</v>
      </c>
      <c r="B141" s="3" t="s">
        <v>150</v>
      </c>
      <c r="C141" s="3" t="n">
        <v>6</v>
      </c>
      <c r="D141" s="4" t="s">
        <v>28</v>
      </c>
      <c r="E141" s="3" t="s">
        <v>18</v>
      </c>
      <c r="F141" s="5" t="n">
        <v>112</v>
      </c>
      <c r="G141" s="6" t="n">
        <v>1832.41</v>
      </c>
      <c r="H141" s="6" t="n">
        <f aca="false">F141*G141</f>
        <v>205229.92</v>
      </c>
    </row>
    <row r="142" customFormat="false" ht="15" hidden="false" customHeight="false" outlineLevel="0" collapsed="false">
      <c r="A142" s="3" t="s">
        <v>164</v>
      </c>
      <c r="B142" s="3" t="s">
        <v>150</v>
      </c>
      <c r="C142" s="3" t="n">
        <v>6</v>
      </c>
      <c r="D142" s="4" t="s">
        <v>28</v>
      </c>
      <c r="E142" s="3" t="s">
        <v>20</v>
      </c>
      <c r="F142" s="5" t="n">
        <v>98</v>
      </c>
      <c r="G142" s="6" t="n">
        <v>1803.5</v>
      </c>
      <c r="H142" s="6" t="n">
        <f aca="false">F142*G142</f>
        <v>176743</v>
      </c>
    </row>
    <row r="143" customFormat="false" ht="15" hidden="false" customHeight="false" outlineLevel="0" collapsed="false">
      <c r="A143" s="3" t="s">
        <v>165</v>
      </c>
      <c r="B143" s="3" t="s">
        <v>150</v>
      </c>
      <c r="C143" s="3" t="n">
        <v>6</v>
      </c>
      <c r="D143" s="4" t="s">
        <v>34</v>
      </c>
      <c r="E143" s="3" t="s">
        <v>12</v>
      </c>
      <c r="F143" s="5" t="n">
        <v>155</v>
      </c>
      <c r="G143" s="6" t="n">
        <v>6450.44</v>
      </c>
      <c r="H143" s="6" t="n">
        <f aca="false">F143*G143</f>
        <v>999818.2</v>
      </c>
    </row>
    <row r="144" customFormat="false" ht="15" hidden="false" customHeight="false" outlineLevel="0" collapsed="false">
      <c r="A144" s="3" t="s">
        <v>166</v>
      </c>
      <c r="B144" s="3" t="s">
        <v>150</v>
      </c>
      <c r="C144" s="3" t="n">
        <v>6</v>
      </c>
      <c r="D144" s="4" t="s">
        <v>34</v>
      </c>
      <c r="E144" s="3" t="s">
        <v>14</v>
      </c>
      <c r="F144" s="5" t="n">
        <v>153</v>
      </c>
      <c r="G144" s="6" t="n">
        <v>6477.16</v>
      </c>
      <c r="H144" s="6" t="n">
        <f aca="false">F144*G144</f>
        <v>991005.48</v>
      </c>
    </row>
    <row r="145" customFormat="false" ht="15" hidden="false" customHeight="false" outlineLevel="0" collapsed="false">
      <c r="A145" s="3" t="s">
        <v>167</v>
      </c>
      <c r="B145" s="3" t="s">
        <v>150</v>
      </c>
      <c r="C145" s="3" t="n">
        <v>6</v>
      </c>
      <c r="D145" s="4" t="s">
        <v>34</v>
      </c>
      <c r="E145" s="3" t="s">
        <v>16</v>
      </c>
      <c r="F145" s="5" t="n">
        <v>138</v>
      </c>
      <c r="G145" s="6" t="n">
        <v>6707.19</v>
      </c>
      <c r="H145" s="6" t="n">
        <f aca="false">F145*G145</f>
        <v>925592.22</v>
      </c>
    </row>
    <row r="146" customFormat="false" ht="15" hidden="false" customHeight="false" outlineLevel="0" collapsed="false">
      <c r="A146" s="3" t="s">
        <v>168</v>
      </c>
      <c r="B146" s="3" t="s">
        <v>150</v>
      </c>
      <c r="C146" s="3" t="n">
        <v>6</v>
      </c>
      <c r="D146" s="4" t="s">
        <v>34</v>
      </c>
      <c r="E146" s="3" t="s">
        <v>18</v>
      </c>
      <c r="F146" s="5" t="n">
        <v>103</v>
      </c>
      <c r="G146" s="6" t="n">
        <v>6959.87</v>
      </c>
      <c r="H146" s="6" t="n">
        <f aca="false">F146*G146</f>
        <v>716866.61</v>
      </c>
    </row>
    <row r="147" customFormat="false" ht="15" hidden="false" customHeight="false" outlineLevel="0" collapsed="false">
      <c r="A147" s="3" t="s">
        <v>169</v>
      </c>
      <c r="B147" s="3" t="s">
        <v>150</v>
      </c>
      <c r="C147" s="3" t="n">
        <v>6</v>
      </c>
      <c r="D147" s="4" t="s">
        <v>34</v>
      </c>
      <c r="E147" s="3" t="s">
        <v>20</v>
      </c>
      <c r="F147" s="5" t="n">
        <v>106</v>
      </c>
      <c r="G147" s="6" t="n">
        <v>6561.89</v>
      </c>
      <c r="H147" s="6" t="n">
        <f aca="false">F147*G147</f>
        <v>695560.34</v>
      </c>
    </row>
    <row r="148" customFormat="false" ht="15" hidden="false" customHeight="false" outlineLevel="0" collapsed="false">
      <c r="A148" s="3" t="s">
        <v>170</v>
      </c>
      <c r="B148" s="3" t="s">
        <v>150</v>
      </c>
      <c r="C148" s="3" t="n">
        <v>6</v>
      </c>
      <c r="D148" s="4" t="s">
        <v>40</v>
      </c>
      <c r="E148" s="3" t="s">
        <v>12</v>
      </c>
      <c r="F148" s="5" t="n">
        <v>134</v>
      </c>
      <c r="G148" s="6" t="n">
        <v>3268.64</v>
      </c>
      <c r="H148" s="6" t="n">
        <f aca="false">F148*G148</f>
        <v>437997.76</v>
      </c>
    </row>
    <row r="149" customFormat="false" ht="15" hidden="false" customHeight="false" outlineLevel="0" collapsed="false">
      <c r="A149" s="3" t="s">
        <v>171</v>
      </c>
      <c r="B149" s="3" t="s">
        <v>150</v>
      </c>
      <c r="C149" s="3" t="n">
        <v>6</v>
      </c>
      <c r="D149" s="4" t="s">
        <v>40</v>
      </c>
      <c r="E149" s="3" t="s">
        <v>14</v>
      </c>
      <c r="F149" s="5" t="n">
        <v>130</v>
      </c>
      <c r="G149" s="6" t="n">
        <v>2912.32</v>
      </c>
      <c r="H149" s="6" t="n">
        <f aca="false">F149*G149</f>
        <v>378601.6</v>
      </c>
    </row>
    <row r="150" customFormat="false" ht="15" hidden="false" customHeight="false" outlineLevel="0" collapsed="false">
      <c r="A150" s="3" t="s">
        <v>172</v>
      </c>
      <c r="B150" s="3" t="s">
        <v>150</v>
      </c>
      <c r="C150" s="3" t="n">
        <v>6</v>
      </c>
      <c r="D150" s="4" t="s">
        <v>40</v>
      </c>
      <c r="E150" s="3" t="s">
        <v>16</v>
      </c>
      <c r="F150" s="5" t="n">
        <v>112</v>
      </c>
      <c r="G150" s="6" t="n">
        <v>2887.98</v>
      </c>
      <c r="H150" s="6" t="n">
        <f aca="false">F150*G150</f>
        <v>323453.76</v>
      </c>
    </row>
    <row r="151" customFormat="false" ht="15" hidden="false" customHeight="false" outlineLevel="0" collapsed="false">
      <c r="A151" s="3" t="s">
        <v>173</v>
      </c>
      <c r="B151" s="3" t="s">
        <v>150</v>
      </c>
      <c r="C151" s="3" t="n">
        <v>6</v>
      </c>
      <c r="D151" s="4" t="s">
        <v>40</v>
      </c>
      <c r="E151" s="3" t="s">
        <v>18</v>
      </c>
      <c r="F151" s="5" t="n">
        <v>119</v>
      </c>
      <c r="G151" s="6" t="n">
        <v>2888.27</v>
      </c>
      <c r="H151" s="6" t="n">
        <f aca="false">F151*G151</f>
        <v>343704.13</v>
      </c>
    </row>
    <row r="152" customFormat="false" ht="15" hidden="false" customHeight="false" outlineLevel="0" collapsed="false">
      <c r="A152" s="3" t="s">
        <v>174</v>
      </c>
      <c r="B152" s="3" t="s">
        <v>150</v>
      </c>
      <c r="C152" s="3" t="n">
        <v>6</v>
      </c>
      <c r="D152" s="4" t="s">
        <v>40</v>
      </c>
      <c r="E152" s="3" t="s">
        <v>20</v>
      </c>
      <c r="F152" s="5" t="n">
        <v>104</v>
      </c>
      <c r="G152" s="6" t="n">
        <v>3240.83</v>
      </c>
      <c r="H152" s="6" t="n">
        <f aca="false">F152*G152</f>
        <v>337046.32</v>
      </c>
    </row>
    <row r="153" customFormat="false" ht="15" hidden="false" customHeight="false" outlineLevel="0" collapsed="false">
      <c r="A153" s="3" t="s">
        <v>175</v>
      </c>
      <c r="B153" s="3" t="s">
        <v>176</v>
      </c>
      <c r="C153" s="3" t="n">
        <v>7</v>
      </c>
      <c r="D153" s="4" t="s">
        <v>11</v>
      </c>
      <c r="E153" s="3" t="s">
        <v>12</v>
      </c>
      <c r="F153" s="5" t="n">
        <v>170</v>
      </c>
      <c r="G153" s="6" t="n">
        <v>2361.78</v>
      </c>
      <c r="H153" s="6" t="n">
        <f aca="false">F153*G153</f>
        <v>401502.6</v>
      </c>
    </row>
    <row r="154" customFormat="false" ht="15" hidden="false" customHeight="false" outlineLevel="0" collapsed="false">
      <c r="A154" s="3" t="s">
        <v>177</v>
      </c>
      <c r="B154" s="3" t="s">
        <v>176</v>
      </c>
      <c r="C154" s="3" t="n">
        <v>7</v>
      </c>
      <c r="D154" s="4" t="s">
        <v>11</v>
      </c>
      <c r="E154" s="3" t="s">
        <v>14</v>
      </c>
      <c r="F154" s="5" t="n">
        <v>120</v>
      </c>
      <c r="G154" s="6" t="n">
        <v>2564.1</v>
      </c>
      <c r="H154" s="6" t="n">
        <f aca="false">F154*G154</f>
        <v>307692</v>
      </c>
    </row>
    <row r="155" customFormat="false" ht="15" hidden="false" customHeight="false" outlineLevel="0" collapsed="false">
      <c r="A155" s="3" t="s">
        <v>178</v>
      </c>
      <c r="B155" s="3" t="s">
        <v>176</v>
      </c>
      <c r="C155" s="3" t="n">
        <v>7</v>
      </c>
      <c r="D155" s="4" t="s">
        <v>11</v>
      </c>
      <c r="E155" s="3" t="s">
        <v>16</v>
      </c>
      <c r="F155" s="5" t="n">
        <v>147</v>
      </c>
      <c r="G155" s="6" t="n">
        <v>2653.13</v>
      </c>
      <c r="H155" s="6" t="n">
        <f aca="false">F155*G155</f>
        <v>390010.11</v>
      </c>
    </row>
    <row r="156" customFormat="false" ht="15" hidden="false" customHeight="false" outlineLevel="0" collapsed="false">
      <c r="A156" s="3" t="s">
        <v>179</v>
      </c>
      <c r="B156" s="3" t="s">
        <v>176</v>
      </c>
      <c r="C156" s="3" t="n">
        <v>7</v>
      </c>
      <c r="D156" s="4" t="s">
        <v>11</v>
      </c>
      <c r="E156" s="3" t="s">
        <v>18</v>
      </c>
      <c r="F156" s="5" t="n">
        <v>134</v>
      </c>
      <c r="G156" s="6" t="n">
        <v>2387.84</v>
      </c>
      <c r="H156" s="6" t="n">
        <f aca="false">F156*G156</f>
        <v>319970.56</v>
      </c>
    </row>
    <row r="157" customFormat="false" ht="15" hidden="false" customHeight="false" outlineLevel="0" collapsed="false">
      <c r="A157" s="3" t="s">
        <v>180</v>
      </c>
      <c r="B157" s="3" t="s">
        <v>176</v>
      </c>
      <c r="C157" s="3" t="n">
        <v>7</v>
      </c>
      <c r="D157" s="4" t="s">
        <v>11</v>
      </c>
      <c r="E157" s="3" t="s">
        <v>20</v>
      </c>
      <c r="F157" s="5" t="n">
        <v>94</v>
      </c>
      <c r="G157" s="6" t="n">
        <v>2459.3</v>
      </c>
      <c r="H157" s="6" t="n">
        <f aca="false">F157*G157</f>
        <v>231174.2</v>
      </c>
    </row>
    <row r="158" customFormat="false" ht="15" hidden="false" customHeight="false" outlineLevel="0" collapsed="false">
      <c r="A158" s="3" t="s">
        <v>181</v>
      </c>
      <c r="B158" s="3" t="s">
        <v>176</v>
      </c>
      <c r="C158" s="3" t="n">
        <v>7</v>
      </c>
      <c r="D158" s="4" t="s">
        <v>22</v>
      </c>
      <c r="E158" s="3" t="s">
        <v>12</v>
      </c>
      <c r="F158" s="5" t="n">
        <v>176</v>
      </c>
      <c r="G158" s="6" t="n">
        <v>4529.19</v>
      </c>
      <c r="H158" s="6" t="n">
        <f aca="false">F158*G158</f>
        <v>797137.44</v>
      </c>
    </row>
    <row r="159" customFormat="false" ht="15" hidden="false" customHeight="false" outlineLevel="0" collapsed="false">
      <c r="A159" s="3" t="s">
        <v>182</v>
      </c>
      <c r="B159" s="3" t="s">
        <v>176</v>
      </c>
      <c r="C159" s="3" t="n">
        <v>7</v>
      </c>
      <c r="D159" s="4" t="s">
        <v>22</v>
      </c>
      <c r="E159" s="3" t="s">
        <v>14</v>
      </c>
      <c r="F159" s="5" t="n">
        <v>134</v>
      </c>
      <c r="G159" s="6" t="n">
        <v>3972.51</v>
      </c>
      <c r="H159" s="6" t="n">
        <f aca="false">F159*G159</f>
        <v>532316.34</v>
      </c>
    </row>
    <row r="160" customFormat="false" ht="15" hidden="false" customHeight="false" outlineLevel="0" collapsed="false">
      <c r="A160" s="3" t="s">
        <v>183</v>
      </c>
      <c r="B160" s="3" t="s">
        <v>176</v>
      </c>
      <c r="C160" s="3" t="n">
        <v>7</v>
      </c>
      <c r="D160" s="4" t="s">
        <v>22</v>
      </c>
      <c r="E160" s="3" t="s">
        <v>16</v>
      </c>
      <c r="F160" s="5" t="n">
        <v>120</v>
      </c>
      <c r="G160" s="6" t="n">
        <v>4210.49</v>
      </c>
      <c r="H160" s="6" t="n">
        <f aca="false">F160*G160</f>
        <v>505258.8</v>
      </c>
    </row>
    <row r="161" customFormat="false" ht="15" hidden="false" customHeight="false" outlineLevel="0" collapsed="false">
      <c r="A161" s="3" t="s">
        <v>184</v>
      </c>
      <c r="B161" s="3" t="s">
        <v>176</v>
      </c>
      <c r="C161" s="3" t="n">
        <v>7</v>
      </c>
      <c r="D161" s="4" t="s">
        <v>22</v>
      </c>
      <c r="E161" s="3" t="s">
        <v>18</v>
      </c>
      <c r="F161" s="5" t="n">
        <v>109</v>
      </c>
      <c r="G161" s="6" t="n">
        <v>3995.54</v>
      </c>
      <c r="H161" s="6" t="n">
        <f aca="false">F161*G161</f>
        <v>435513.86</v>
      </c>
    </row>
    <row r="162" customFormat="false" ht="15" hidden="false" customHeight="false" outlineLevel="0" collapsed="false">
      <c r="A162" s="3" t="s">
        <v>185</v>
      </c>
      <c r="B162" s="3" t="s">
        <v>176</v>
      </c>
      <c r="C162" s="3" t="n">
        <v>7</v>
      </c>
      <c r="D162" s="4" t="s">
        <v>22</v>
      </c>
      <c r="E162" s="3" t="s">
        <v>20</v>
      </c>
      <c r="F162" s="5" t="n">
        <v>79</v>
      </c>
      <c r="G162" s="6" t="n">
        <v>4349.29</v>
      </c>
      <c r="H162" s="6" t="n">
        <f aca="false">F162*G162</f>
        <v>343593.91</v>
      </c>
    </row>
    <row r="163" customFormat="false" ht="15" hidden="false" customHeight="false" outlineLevel="0" collapsed="false">
      <c r="A163" s="3" t="s">
        <v>186</v>
      </c>
      <c r="B163" s="3" t="s">
        <v>176</v>
      </c>
      <c r="C163" s="3" t="n">
        <v>7</v>
      </c>
      <c r="D163" s="4" t="s">
        <v>28</v>
      </c>
      <c r="E163" s="3" t="s">
        <v>12</v>
      </c>
      <c r="F163" s="5" t="n">
        <v>155</v>
      </c>
      <c r="G163" s="6" t="n">
        <v>1815.57</v>
      </c>
      <c r="H163" s="6" t="n">
        <f aca="false">F163*G163</f>
        <v>281413.35</v>
      </c>
    </row>
    <row r="164" customFormat="false" ht="15" hidden="false" customHeight="false" outlineLevel="0" collapsed="false">
      <c r="A164" s="3" t="s">
        <v>187</v>
      </c>
      <c r="B164" s="3" t="s">
        <v>176</v>
      </c>
      <c r="C164" s="3" t="n">
        <v>7</v>
      </c>
      <c r="D164" s="4" t="s">
        <v>28</v>
      </c>
      <c r="E164" s="3" t="s">
        <v>14</v>
      </c>
      <c r="F164" s="5" t="n">
        <v>129</v>
      </c>
      <c r="G164" s="6" t="n">
        <v>1661.21</v>
      </c>
      <c r="H164" s="6" t="n">
        <f aca="false">F164*G164</f>
        <v>214296.09</v>
      </c>
    </row>
    <row r="165" customFormat="false" ht="15" hidden="false" customHeight="false" outlineLevel="0" collapsed="false">
      <c r="A165" s="3" t="s">
        <v>188</v>
      </c>
      <c r="B165" s="3" t="s">
        <v>176</v>
      </c>
      <c r="C165" s="3" t="n">
        <v>7</v>
      </c>
      <c r="D165" s="4" t="s">
        <v>28</v>
      </c>
      <c r="E165" s="3" t="s">
        <v>16</v>
      </c>
      <c r="F165" s="5" t="n">
        <v>127</v>
      </c>
      <c r="G165" s="6" t="n">
        <v>1835.69</v>
      </c>
      <c r="H165" s="6" t="n">
        <f aca="false">F165*G165</f>
        <v>233132.63</v>
      </c>
    </row>
    <row r="166" customFormat="false" ht="15" hidden="false" customHeight="false" outlineLevel="0" collapsed="false">
      <c r="A166" s="3" t="s">
        <v>189</v>
      </c>
      <c r="B166" s="3" t="s">
        <v>176</v>
      </c>
      <c r="C166" s="3" t="n">
        <v>7</v>
      </c>
      <c r="D166" s="4" t="s">
        <v>28</v>
      </c>
      <c r="E166" s="3" t="s">
        <v>18</v>
      </c>
      <c r="F166" s="5" t="n">
        <v>135</v>
      </c>
      <c r="G166" s="6" t="n">
        <v>1674.52</v>
      </c>
      <c r="H166" s="6" t="n">
        <f aca="false">F166*G166</f>
        <v>226060.2</v>
      </c>
    </row>
    <row r="167" customFormat="false" ht="15" hidden="false" customHeight="false" outlineLevel="0" collapsed="false">
      <c r="A167" s="3" t="s">
        <v>190</v>
      </c>
      <c r="B167" s="3" t="s">
        <v>176</v>
      </c>
      <c r="C167" s="3" t="n">
        <v>7</v>
      </c>
      <c r="D167" s="4" t="s">
        <v>28</v>
      </c>
      <c r="E167" s="3" t="s">
        <v>20</v>
      </c>
      <c r="F167" s="5" t="n">
        <v>110</v>
      </c>
      <c r="G167" s="6" t="n">
        <v>1883.05</v>
      </c>
      <c r="H167" s="6" t="n">
        <f aca="false">F167*G167</f>
        <v>207135.5</v>
      </c>
    </row>
    <row r="168" customFormat="false" ht="15" hidden="false" customHeight="false" outlineLevel="0" collapsed="false">
      <c r="A168" s="3" t="s">
        <v>191</v>
      </c>
      <c r="B168" s="3" t="s">
        <v>176</v>
      </c>
      <c r="C168" s="3" t="n">
        <v>7</v>
      </c>
      <c r="D168" s="4" t="s">
        <v>34</v>
      </c>
      <c r="E168" s="3" t="s">
        <v>12</v>
      </c>
      <c r="F168" s="5" t="n">
        <v>146</v>
      </c>
      <c r="G168" s="6" t="n">
        <v>6088.97</v>
      </c>
      <c r="H168" s="6" t="n">
        <f aca="false">F168*G168</f>
        <v>888989.62</v>
      </c>
    </row>
    <row r="169" customFormat="false" ht="15" hidden="false" customHeight="false" outlineLevel="0" collapsed="false">
      <c r="A169" s="3" t="s">
        <v>192</v>
      </c>
      <c r="B169" s="3" t="s">
        <v>176</v>
      </c>
      <c r="C169" s="3" t="n">
        <v>7</v>
      </c>
      <c r="D169" s="4" t="s">
        <v>34</v>
      </c>
      <c r="E169" s="3" t="s">
        <v>14</v>
      </c>
      <c r="F169" s="5" t="n">
        <v>150</v>
      </c>
      <c r="G169" s="6" t="n">
        <v>6021.17</v>
      </c>
      <c r="H169" s="6" t="n">
        <f aca="false">F169*G169</f>
        <v>903175.5</v>
      </c>
    </row>
    <row r="170" customFormat="false" ht="15" hidden="false" customHeight="false" outlineLevel="0" collapsed="false">
      <c r="A170" s="3" t="s">
        <v>193</v>
      </c>
      <c r="B170" s="3" t="s">
        <v>176</v>
      </c>
      <c r="C170" s="3" t="n">
        <v>7</v>
      </c>
      <c r="D170" s="4" t="s">
        <v>34</v>
      </c>
      <c r="E170" s="3" t="s">
        <v>16</v>
      </c>
      <c r="F170" s="5" t="n">
        <v>111</v>
      </c>
      <c r="G170" s="6" t="n">
        <v>6261.26</v>
      </c>
      <c r="H170" s="6" t="n">
        <f aca="false">F170*G170</f>
        <v>694999.86</v>
      </c>
    </row>
    <row r="171" customFormat="false" ht="15" hidden="false" customHeight="false" outlineLevel="0" collapsed="false">
      <c r="A171" s="3" t="s">
        <v>194</v>
      </c>
      <c r="B171" s="3" t="s">
        <v>176</v>
      </c>
      <c r="C171" s="3" t="n">
        <v>7</v>
      </c>
      <c r="D171" s="4" t="s">
        <v>34</v>
      </c>
      <c r="E171" s="3" t="s">
        <v>18</v>
      </c>
      <c r="F171" s="5" t="n">
        <v>132</v>
      </c>
      <c r="G171" s="6" t="n">
        <v>6419.14</v>
      </c>
      <c r="H171" s="6" t="n">
        <f aca="false">F171*G171</f>
        <v>847326.48</v>
      </c>
    </row>
    <row r="172" customFormat="false" ht="15" hidden="false" customHeight="false" outlineLevel="0" collapsed="false">
      <c r="A172" s="3" t="s">
        <v>195</v>
      </c>
      <c r="B172" s="3" t="s">
        <v>176</v>
      </c>
      <c r="C172" s="3" t="n">
        <v>7</v>
      </c>
      <c r="D172" s="4" t="s">
        <v>34</v>
      </c>
      <c r="E172" s="3" t="s">
        <v>20</v>
      </c>
      <c r="F172" s="5" t="n">
        <v>87</v>
      </c>
      <c r="G172" s="6" t="n">
        <v>6831.74</v>
      </c>
      <c r="H172" s="6" t="n">
        <f aca="false">F172*G172</f>
        <v>594361.38</v>
      </c>
    </row>
    <row r="173" customFormat="false" ht="15" hidden="false" customHeight="false" outlineLevel="0" collapsed="false">
      <c r="A173" s="3" t="s">
        <v>196</v>
      </c>
      <c r="B173" s="3" t="s">
        <v>176</v>
      </c>
      <c r="C173" s="3" t="n">
        <v>7</v>
      </c>
      <c r="D173" s="4" t="s">
        <v>40</v>
      </c>
      <c r="E173" s="3" t="s">
        <v>12</v>
      </c>
      <c r="F173" s="5" t="n">
        <v>181</v>
      </c>
      <c r="G173" s="6" t="n">
        <v>2926.09</v>
      </c>
      <c r="H173" s="6" t="n">
        <f aca="false">F173*G173</f>
        <v>529622.29</v>
      </c>
    </row>
    <row r="174" customFormat="false" ht="15" hidden="false" customHeight="false" outlineLevel="0" collapsed="false">
      <c r="A174" s="3" t="s">
        <v>197</v>
      </c>
      <c r="B174" s="3" t="s">
        <v>176</v>
      </c>
      <c r="C174" s="3" t="n">
        <v>7</v>
      </c>
      <c r="D174" s="4" t="s">
        <v>40</v>
      </c>
      <c r="E174" s="3" t="s">
        <v>14</v>
      </c>
      <c r="F174" s="5" t="n">
        <v>147</v>
      </c>
      <c r="G174" s="6" t="n">
        <v>3135.02</v>
      </c>
      <c r="H174" s="6" t="n">
        <f aca="false">F174*G174</f>
        <v>460847.94</v>
      </c>
    </row>
    <row r="175" customFormat="false" ht="15" hidden="false" customHeight="false" outlineLevel="0" collapsed="false">
      <c r="A175" s="3" t="s">
        <v>198</v>
      </c>
      <c r="B175" s="3" t="s">
        <v>176</v>
      </c>
      <c r="C175" s="3" t="n">
        <v>7</v>
      </c>
      <c r="D175" s="4" t="s">
        <v>40</v>
      </c>
      <c r="E175" s="3" t="s">
        <v>16</v>
      </c>
      <c r="F175" s="5" t="n">
        <v>107</v>
      </c>
      <c r="G175" s="6" t="n">
        <v>2896.37</v>
      </c>
      <c r="H175" s="6" t="n">
        <f aca="false">F175*G175</f>
        <v>309911.59</v>
      </c>
    </row>
    <row r="176" customFormat="false" ht="15" hidden="false" customHeight="false" outlineLevel="0" collapsed="false">
      <c r="A176" s="3" t="s">
        <v>199</v>
      </c>
      <c r="B176" s="3" t="s">
        <v>176</v>
      </c>
      <c r="C176" s="3" t="n">
        <v>7</v>
      </c>
      <c r="D176" s="4" t="s">
        <v>40</v>
      </c>
      <c r="E176" s="3" t="s">
        <v>18</v>
      </c>
      <c r="F176" s="5" t="n">
        <v>113</v>
      </c>
      <c r="G176" s="6" t="n">
        <v>3193.35</v>
      </c>
      <c r="H176" s="6" t="n">
        <f aca="false">F176*G176</f>
        <v>360848.55</v>
      </c>
    </row>
    <row r="177" customFormat="false" ht="15" hidden="false" customHeight="false" outlineLevel="0" collapsed="false">
      <c r="A177" s="3" t="s">
        <v>200</v>
      </c>
      <c r="B177" s="3" t="s">
        <v>176</v>
      </c>
      <c r="C177" s="3" t="n">
        <v>7</v>
      </c>
      <c r="D177" s="4" t="s">
        <v>40</v>
      </c>
      <c r="E177" s="3" t="s">
        <v>20</v>
      </c>
      <c r="F177" s="5" t="n">
        <v>109</v>
      </c>
      <c r="G177" s="6" t="n">
        <v>2887.92</v>
      </c>
      <c r="H177" s="6" t="n">
        <f aca="false">F177*G177</f>
        <v>314783.28</v>
      </c>
    </row>
    <row r="178" customFormat="false" ht="15" hidden="false" customHeight="false" outlineLevel="0" collapsed="false">
      <c r="A178" s="3" t="s">
        <v>201</v>
      </c>
      <c r="B178" s="3" t="s">
        <v>202</v>
      </c>
      <c r="C178" s="3" t="n">
        <v>8</v>
      </c>
      <c r="D178" s="4" t="s">
        <v>11</v>
      </c>
      <c r="E178" s="3" t="s">
        <v>12</v>
      </c>
      <c r="F178" s="5" t="n">
        <v>180</v>
      </c>
      <c r="G178" s="6" t="n">
        <v>2553.78</v>
      </c>
      <c r="H178" s="6" t="n">
        <f aca="false">F178*G178</f>
        <v>459680.4</v>
      </c>
    </row>
    <row r="179" customFormat="false" ht="15" hidden="false" customHeight="false" outlineLevel="0" collapsed="false">
      <c r="A179" s="3" t="s">
        <v>203</v>
      </c>
      <c r="B179" s="3" t="s">
        <v>202</v>
      </c>
      <c r="C179" s="3" t="n">
        <v>8</v>
      </c>
      <c r="D179" s="4" t="s">
        <v>11</v>
      </c>
      <c r="E179" s="3" t="s">
        <v>14</v>
      </c>
      <c r="F179" s="5" t="n">
        <v>159</v>
      </c>
      <c r="G179" s="6" t="n">
        <v>2333.5</v>
      </c>
      <c r="H179" s="6" t="n">
        <f aca="false">F179*G179</f>
        <v>371026.5</v>
      </c>
    </row>
    <row r="180" customFormat="false" ht="15" hidden="false" customHeight="false" outlineLevel="0" collapsed="false">
      <c r="A180" s="3" t="s">
        <v>204</v>
      </c>
      <c r="B180" s="3" t="s">
        <v>202</v>
      </c>
      <c r="C180" s="3" t="n">
        <v>8</v>
      </c>
      <c r="D180" s="4" t="s">
        <v>11</v>
      </c>
      <c r="E180" s="3" t="s">
        <v>16</v>
      </c>
      <c r="F180" s="5" t="n">
        <v>147</v>
      </c>
      <c r="G180" s="6" t="n">
        <v>2326.65</v>
      </c>
      <c r="H180" s="6" t="n">
        <f aca="false">F180*G180</f>
        <v>342017.55</v>
      </c>
    </row>
    <row r="181" customFormat="false" ht="15" hidden="false" customHeight="false" outlineLevel="0" collapsed="false">
      <c r="A181" s="3" t="s">
        <v>205</v>
      </c>
      <c r="B181" s="3" t="s">
        <v>202</v>
      </c>
      <c r="C181" s="3" t="n">
        <v>8</v>
      </c>
      <c r="D181" s="4" t="s">
        <v>11</v>
      </c>
      <c r="E181" s="3" t="s">
        <v>18</v>
      </c>
      <c r="F181" s="5" t="n">
        <v>113</v>
      </c>
      <c r="G181" s="6" t="n">
        <v>2481.51</v>
      </c>
      <c r="H181" s="6" t="n">
        <f aca="false">F181*G181</f>
        <v>280410.63</v>
      </c>
    </row>
    <row r="182" customFormat="false" ht="15" hidden="false" customHeight="false" outlineLevel="0" collapsed="false">
      <c r="A182" s="3" t="s">
        <v>206</v>
      </c>
      <c r="B182" s="3" t="s">
        <v>202</v>
      </c>
      <c r="C182" s="3" t="n">
        <v>8</v>
      </c>
      <c r="D182" s="4" t="s">
        <v>11</v>
      </c>
      <c r="E182" s="3" t="s">
        <v>20</v>
      </c>
      <c r="F182" s="5" t="n">
        <v>112</v>
      </c>
      <c r="G182" s="6" t="n">
        <v>2521.23</v>
      </c>
      <c r="H182" s="6" t="n">
        <f aca="false">F182*G182</f>
        <v>282377.76</v>
      </c>
    </row>
    <row r="183" customFormat="false" ht="15" hidden="false" customHeight="false" outlineLevel="0" collapsed="false">
      <c r="A183" s="3" t="s">
        <v>207</v>
      </c>
      <c r="B183" s="3" t="s">
        <v>202</v>
      </c>
      <c r="C183" s="3" t="n">
        <v>8</v>
      </c>
      <c r="D183" s="4" t="s">
        <v>22</v>
      </c>
      <c r="E183" s="3" t="s">
        <v>12</v>
      </c>
      <c r="F183" s="5" t="n">
        <v>143</v>
      </c>
      <c r="G183" s="6" t="n">
        <v>4044</v>
      </c>
      <c r="H183" s="6" t="n">
        <f aca="false">F183*G183</f>
        <v>578292</v>
      </c>
    </row>
    <row r="184" customFormat="false" ht="15" hidden="false" customHeight="false" outlineLevel="0" collapsed="false">
      <c r="A184" s="3" t="s">
        <v>208</v>
      </c>
      <c r="B184" s="3" t="s">
        <v>202</v>
      </c>
      <c r="C184" s="3" t="n">
        <v>8</v>
      </c>
      <c r="D184" s="4" t="s">
        <v>22</v>
      </c>
      <c r="E184" s="3" t="s">
        <v>14</v>
      </c>
      <c r="F184" s="5" t="n">
        <v>129</v>
      </c>
      <c r="G184" s="6" t="n">
        <v>4218.09</v>
      </c>
      <c r="H184" s="6" t="n">
        <f aca="false">F184*G184</f>
        <v>544133.61</v>
      </c>
    </row>
    <row r="185" customFormat="false" ht="15" hidden="false" customHeight="false" outlineLevel="0" collapsed="false">
      <c r="A185" s="3" t="s">
        <v>209</v>
      </c>
      <c r="B185" s="3" t="s">
        <v>202</v>
      </c>
      <c r="C185" s="3" t="n">
        <v>8</v>
      </c>
      <c r="D185" s="4" t="s">
        <v>22</v>
      </c>
      <c r="E185" s="3" t="s">
        <v>16</v>
      </c>
      <c r="F185" s="5" t="n">
        <v>116</v>
      </c>
      <c r="G185" s="6" t="n">
        <v>3937.55</v>
      </c>
      <c r="H185" s="6" t="n">
        <f aca="false">F185*G185</f>
        <v>456755.8</v>
      </c>
    </row>
    <row r="186" customFormat="false" ht="15" hidden="false" customHeight="false" outlineLevel="0" collapsed="false">
      <c r="A186" s="3" t="s">
        <v>210</v>
      </c>
      <c r="B186" s="3" t="s">
        <v>202</v>
      </c>
      <c r="C186" s="3" t="n">
        <v>8</v>
      </c>
      <c r="D186" s="4" t="s">
        <v>22</v>
      </c>
      <c r="E186" s="3" t="s">
        <v>18</v>
      </c>
      <c r="F186" s="5" t="n">
        <v>108</v>
      </c>
      <c r="G186" s="6" t="n">
        <v>3897.86</v>
      </c>
      <c r="H186" s="6" t="n">
        <f aca="false">F186*G186</f>
        <v>420968.88</v>
      </c>
    </row>
    <row r="187" customFormat="false" ht="15" hidden="false" customHeight="false" outlineLevel="0" collapsed="false">
      <c r="A187" s="3" t="s">
        <v>211</v>
      </c>
      <c r="B187" s="3" t="s">
        <v>202</v>
      </c>
      <c r="C187" s="3" t="n">
        <v>8</v>
      </c>
      <c r="D187" s="4" t="s">
        <v>22</v>
      </c>
      <c r="E187" s="3" t="s">
        <v>20</v>
      </c>
      <c r="F187" s="5" t="n">
        <v>91</v>
      </c>
      <c r="G187" s="6" t="n">
        <v>4073.66</v>
      </c>
      <c r="H187" s="6" t="n">
        <f aca="false">F187*G187</f>
        <v>370703.06</v>
      </c>
    </row>
    <row r="188" customFormat="false" ht="15" hidden="false" customHeight="false" outlineLevel="0" collapsed="false">
      <c r="A188" s="3" t="s">
        <v>212</v>
      </c>
      <c r="B188" s="3" t="s">
        <v>202</v>
      </c>
      <c r="C188" s="3" t="n">
        <v>8</v>
      </c>
      <c r="D188" s="4" t="s">
        <v>28</v>
      </c>
      <c r="E188" s="3" t="s">
        <v>12</v>
      </c>
      <c r="F188" s="5" t="n">
        <v>152</v>
      </c>
      <c r="G188" s="6" t="n">
        <v>1874.74</v>
      </c>
      <c r="H188" s="6" t="n">
        <f aca="false">F188*G188</f>
        <v>284960.48</v>
      </c>
    </row>
    <row r="189" customFormat="false" ht="15" hidden="false" customHeight="false" outlineLevel="0" collapsed="false">
      <c r="A189" s="3" t="s">
        <v>213</v>
      </c>
      <c r="B189" s="3" t="s">
        <v>202</v>
      </c>
      <c r="C189" s="3" t="n">
        <v>8</v>
      </c>
      <c r="D189" s="4" t="s">
        <v>28</v>
      </c>
      <c r="E189" s="3" t="s">
        <v>14</v>
      </c>
      <c r="F189" s="5" t="n">
        <v>126</v>
      </c>
      <c r="G189" s="6" t="n">
        <v>1800.03</v>
      </c>
      <c r="H189" s="6" t="n">
        <f aca="false">F189*G189</f>
        <v>226803.78</v>
      </c>
    </row>
    <row r="190" customFormat="false" ht="15" hidden="false" customHeight="false" outlineLevel="0" collapsed="false">
      <c r="A190" s="3" t="s">
        <v>214</v>
      </c>
      <c r="B190" s="3" t="s">
        <v>202</v>
      </c>
      <c r="C190" s="3" t="n">
        <v>8</v>
      </c>
      <c r="D190" s="4" t="s">
        <v>28</v>
      </c>
      <c r="E190" s="3" t="s">
        <v>16</v>
      </c>
      <c r="F190" s="5" t="n">
        <v>109</v>
      </c>
      <c r="G190" s="6" t="n">
        <v>1755.94</v>
      </c>
      <c r="H190" s="6" t="n">
        <f aca="false">F190*G190</f>
        <v>191397.46</v>
      </c>
    </row>
    <row r="191" customFormat="false" ht="15" hidden="false" customHeight="false" outlineLevel="0" collapsed="false">
      <c r="A191" s="3" t="s">
        <v>215</v>
      </c>
      <c r="B191" s="3" t="s">
        <v>202</v>
      </c>
      <c r="C191" s="3" t="n">
        <v>8</v>
      </c>
      <c r="D191" s="4" t="s">
        <v>28</v>
      </c>
      <c r="E191" s="3" t="s">
        <v>18</v>
      </c>
      <c r="F191" s="5" t="n">
        <v>100</v>
      </c>
      <c r="G191" s="6" t="n">
        <v>1728.13</v>
      </c>
      <c r="H191" s="6" t="n">
        <f aca="false">F191*G191</f>
        <v>172813</v>
      </c>
    </row>
    <row r="192" customFormat="false" ht="15" hidden="false" customHeight="false" outlineLevel="0" collapsed="false">
      <c r="A192" s="3" t="s">
        <v>216</v>
      </c>
      <c r="B192" s="3" t="s">
        <v>202</v>
      </c>
      <c r="C192" s="3" t="n">
        <v>8</v>
      </c>
      <c r="D192" s="4" t="s">
        <v>28</v>
      </c>
      <c r="E192" s="3" t="s">
        <v>20</v>
      </c>
      <c r="F192" s="5" t="n">
        <v>100</v>
      </c>
      <c r="G192" s="6" t="n">
        <v>1867.13</v>
      </c>
      <c r="H192" s="6" t="n">
        <f aca="false">F192*G192</f>
        <v>186713</v>
      </c>
    </row>
    <row r="193" customFormat="false" ht="15" hidden="false" customHeight="false" outlineLevel="0" collapsed="false">
      <c r="A193" s="3" t="s">
        <v>217</v>
      </c>
      <c r="B193" s="3" t="s">
        <v>202</v>
      </c>
      <c r="C193" s="3" t="n">
        <v>8</v>
      </c>
      <c r="D193" s="4" t="s">
        <v>34</v>
      </c>
      <c r="E193" s="3" t="s">
        <v>12</v>
      </c>
      <c r="F193" s="5" t="n">
        <v>162</v>
      </c>
      <c r="G193" s="6" t="n">
        <v>6177.03</v>
      </c>
      <c r="H193" s="6" t="n">
        <f aca="false">F193*G193</f>
        <v>1000678.86</v>
      </c>
    </row>
    <row r="194" customFormat="false" ht="15" hidden="false" customHeight="false" outlineLevel="0" collapsed="false">
      <c r="A194" s="3" t="s">
        <v>218</v>
      </c>
      <c r="B194" s="3" t="s">
        <v>202</v>
      </c>
      <c r="C194" s="3" t="n">
        <v>8</v>
      </c>
      <c r="D194" s="4" t="s">
        <v>34</v>
      </c>
      <c r="E194" s="3" t="s">
        <v>14</v>
      </c>
      <c r="F194" s="5" t="n">
        <v>123</v>
      </c>
      <c r="G194" s="6" t="n">
        <v>6952.03</v>
      </c>
      <c r="H194" s="6" t="n">
        <f aca="false">F194*G194</f>
        <v>855099.69</v>
      </c>
    </row>
    <row r="195" customFormat="false" ht="15" hidden="false" customHeight="false" outlineLevel="0" collapsed="false">
      <c r="A195" s="3" t="s">
        <v>219</v>
      </c>
      <c r="B195" s="3" t="s">
        <v>202</v>
      </c>
      <c r="C195" s="3" t="n">
        <v>8</v>
      </c>
      <c r="D195" s="4" t="s">
        <v>34</v>
      </c>
      <c r="E195" s="3" t="s">
        <v>16</v>
      </c>
      <c r="F195" s="5" t="n">
        <v>128</v>
      </c>
      <c r="G195" s="6" t="n">
        <v>6831.68</v>
      </c>
      <c r="H195" s="6" t="n">
        <f aca="false">F195*G195</f>
        <v>874455.04</v>
      </c>
    </row>
    <row r="196" customFormat="false" ht="15" hidden="false" customHeight="false" outlineLevel="0" collapsed="false">
      <c r="A196" s="3" t="s">
        <v>220</v>
      </c>
      <c r="B196" s="3" t="s">
        <v>202</v>
      </c>
      <c r="C196" s="3" t="n">
        <v>8</v>
      </c>
      <c r="D196" s="4" t="s">
        <v>34</v>
      </c>
      <c r="E196" s="3" t="s">
        <v>18</v>
      </c>
      <c r="F196" s="5" t="n">
        <v>134</v>
      </c>
      <c r="G196" s="6" t="n">
        <v>6494.8</v>
      </c>
      <c r="H196" s="6" t="n">
        <f aca="false">F196*G196</f>
        <v>870303.2</v>
      </c>
    </row>
    <row r="197" customFormat="false" ht="15" hidden="false" customHeight="false" outlineLevel="0" collapsed="false">
      <c r="A197" s="3" t="s">
        <v>221</v>
      </c>
      <c r="B197" s="3" t="s">
        <v>202</v>
      </c>
      <c r="C197" s="3" t="n">
        <v>8</v>
      </c>
      <c r="D197" s="4" t="s">
        <v>34</v>
      </c>
      <c r="E197" s="3" t="s">
        <v>20</v>
      </c>
      <c r="F197" s="5" t="n">
        <v>98</v>
      </c>
      <c r="G197" s="6" t="n">
        <v>6388.81</v>
      </c>
      <c r="H197" s="6" t="n">
        <f aca="false">F197*G197</f>
        <v>626103.38</v>
      </c>
    </row>
    <row r="198" customFormat="false" ht="15" hidden="false" customHeight="false" outlineLevel="0" collapsed="false">
      <c r="A198" s="3" t="s">
        <v>222</v>
      </c>
      <c r="B198" s="3" t="s">
        <v>202</v>
      </c>
      <c r="C198" s="3" t="n">
        <v>8</v>
      </c>
      <c r="D198" s="4" t="s">
        <v>40</v>
      </c>
      <c r="E198" s="3" t="s">
        <v>12</v>
      </c>
      <c r="F198" s="5" t="n">
        <v>191</v>
      </c>
      <c r="G198" s="6" t="n">
        <v>3193.12</v>
      </c>
      <c r="H198" s="6" t="n">
        <f aca="false">F198*G198</f>
        <v>609885.92</v>
      </c>
    </row>
    <row r="199" customFormat="false" ht="15" hidden="false" customHeight="false" outlineLevel="0" collapsed="false">
      <c r="A199" s="3" t="s">
        <v>223</v>
      </c>
      <c r="B199" s="3" t="s">
        <v>202</v>
      </c>
      <c r="C199" s="3" t="n">
        <v>8</v>
      </c>
      <c r="D199" s="4" t="s">
        <v>40</v>
      </c>
      <c r="E199" s="3" t="s">
        <v>14</v>
      </c>
      <c r="F199" s="5" t="n">
        <v>158</v>
      </c>
      <c r="G199" s="6" t="n">
        <v>3021.98</v>
      </c>
      <c r="H199" s="6" t="n">
        <f aca="false">F199*G199</f>
        <v>477472.84</v>
      </c>
    </row>
    <row r="200" customFormat="false" ht="15" hidden="false" customHeight="false" outlineLevel="0" collapsed="false">
      <c r="A200" s="3" t="s">
        <v>224</v>
      </c>
      <c r="B200" s="3" t="s">
        <v>202</v>
      </c>
      <c r="C200" s="3" t="n">
        <v>8</v>
      </c>
      <c r="D200" s="4" t="s">
        <v>40</v>
      </c>
      <c r="E200" s="3" t="s">
        <v>16</v>
      </c>
      <c r="F200" s="5" t="n">
        <v>137</v>
      </c>
      <c r="G200" s="6" t="n">
        <v>3202.54</v>
      </c>
      <c r="H200" s="6" t="n">
        <f aca="false">F200*G200</f>
        <v>438747.98</v>
      </c>
    </row>
    <row r="201" customFormat="false" ht="15" hidden="false" customHeight="false" outlineLevel="0" collapsed="false">
      <c r="A201" s="3" t="s">
        <v>225</v>
      </c>
      <c r="B201" s="3" t="s">
        <v>202</v>
      </c>
      <c r="C201" s="3" t="n">
        <v>8</v>
      </c>
      <c r="D201" s="4" t="s">
        <v>40</v>
      </c>
      <c r="E201" s="3" t="s">
        <v>18</v>
      </c>
      <c r="F201" s="5" t="n">
        <v>114</v>
      </c>
      <c r="G201" s="6" t="n">
        <v>3052.73</v>
      </c>
      <c r="H201" s="6" t="n">
        <f aca="false">F201*G201</f>
        <v>348011.22</v>
      </c>
    </row>
    <row r="202" customFormat="false" ht="15" hidden="false" customHeight="false" outlineLevel="0" collapsed="false">
      <c r="A202" s="3" t="s">
        <v>226</v>
      </c>
      <c r="B202" s="3" t="s">
        <v>202</v>
      </c>
      <c r="C202" s="3" t="n">
        <v>8</v>
      </c>
      <c r="D202" s="4" t="s">
        <v>40</v>
      </c>
      <c r="E202" s="3" t="s">
        <v>20</v>
      </c>
      <c r="F202" s="5" t="n">
        <v>85</v>
      </c>
      <c r="G202" s="6" t="n">
        <v>2878.98</v>
      </c>
      <c r="H202" s="6" t="n">
        <f aca="false">F202*G202</f>
        <v>244713.3</v>
      </c>
    </row>
    <row r="203" customFormat="false" ht="15" hidden="false" customHeight="false" outlineLevel="0" collapsed="false">
      <c r="A203" s="3" t="s">
        <v>227</v>
      </c>
      <c r="B203" s="3" t="s">
        <v>228</v>
      </c>
      <c r="C203" s="3" t="n">
        <v>9</v>
      </c>
      <c r="D203" s="4" t="s">
        <v>11</v>
      </c>
      <c r="E203" s="3" t="s">
        <v>12</v>
      </c>
      <c r="F203" s="5" t="n">
        <v>183</v>
      </c>
      <c r="G203" s="6" t="n">
        <v>2328.29</v>
      </c>
      <c r="H203" s="6" t="n">
        <f aca="false">F203*G203</f>
        <v>426077.07</v>
      </c>
    </row>
    <row r="204" customFormat="false" ht="15" hidden="false" customHeight="false" outlineLevel="0" collapsed="false">
      <c r="A204" s="3" t="s">
        <v>229</v>
      </c>
      <c r="B204" s="3" t="s">
        <v>228</v>
      </c>
      <c r="C204" s="3" t="n">
        <v>9</v>
      </c>
      <c r="D204" s="4" t="s">
        <v>11</v>
      </c>
      <c r="E204" s="3" t="s">
        <v>14</v>
      </c>
      <c r="F204" s="5" t="n">
        <v>129</v>
      </c>
      <c r="G204" s="6" t="n">
        <v>2402.24</v>
      </c>
      <c r="H204" s="6" t="n">
        <f aca="false">F204*G204</f>
        <v>309888.96</v>
      </c>
    </row>
    <row r="205" customFormat="false" ht="15" hidden="false" customHeight="false" outlineLevel="0" collapsed="false">
      <c r="A205" s="3" t="s">
        <v>230</v>
      </c>
      <c r="B205" s="3" t="s">
        <v>228</v>
      </c>
      <c r="C205" s="3" t="n">
        <v>9</v>
      </c>
      <c r="D205" s="4" t="s">
        <v>11</v>
      </c>
      <c r="E205" s="3" t="s">
        <v>16</v>
      </c>
      <c r="F205" s="5" t="n">
        <v>151</v>
      </c>
      <c r="G205" s="6" t="n">
        <v>2333.79</v>
      </c>
      <c r="H205" s="6" t="n">
        <f aca="false">F205*G205</f>
        <v>352402.29</v>
      </c>
    </row>
    <row r="206" customFormat="false" ht="15" hidden="false" customHeight="false" outlineLevel="0" collapsed="false">
      <c r="A206" s="3" t="s">
        <v>231</v>
      </c>
      <c r="B206" s="3" t="s">
        <v>228</v>
      </c>
      <c r="C206" s="3" t="n">
        <v>9</v>
      </c>
      <c r="D206" s="4" t="s">
        <v>11</v>
      </c>
      <c r="E206" s="3" t="s">
        <v>18</v>
      </c>
      <c r="F206" s="5" t="n">
        <v>131</v>
      </c>
      <c r="G206" s="6" t="n">
        <v>2648.22</v>
      </c>
      <c r="H206" s="6" t="n">
        <f aca="false">F206*G206</f>
        <v>346916.82</v>
      </c>
    </row>
    <row r="207" customFormat="false" ht="15" hidden="false" customHeight="false" outlineLevel="0" collapsed="false">
      <c r="A207" s="3" t="s">
        <v>232</v>
      </c>
      <c r="B207" s="3" t="s">
        <v>228</v>
      </c>
      <c r="C207" s="3" t="n">
        <v>9</v>
      </c>
      <c r="D207" s="4" t="s">
        <v>11</v>
      </c>
      <c r="E207" s="3" t="s">
        <v>20</v>
      </c>
      <c r="F207" s="5" t="n">
        <v>92</v>
      </c>
      <c r="G207" s="6" t="n">
        <v>2412.77</v>
      </c>
      <c r="H207" s="6" t="n">
        <f aca="false">F207*G207</f>
        <v>221974.84</v>
      </c>
    </row>
    <row r="208" customFormat="false" ht="15" hidden="false" customHeight="false" outlineLevel="0" collapsed="false">
      <c r="A208" s="3" t="s">
        <v>233</v>
      </c>
      <c r="B208" s="3" t="s">
        <v>228</v>
      </c>
      <c r="C208" s="3" t="n">
        <v>9</v>
      </c>
      <c r="D208" s="4" t="s">
        <v>22</v>
      </c>
      <c r="E208" s="3" t="s">
        <v>12</v>
      </c>
      <c r="F208" s="5" t="n">
        <v>166</v>
      </c>
      <c r="G208" s="6" t="n">
        <v>4060.94</v>
      </c>
      <c r="H208" s="6" t="n">
        <f aca="false">F208*G208</f>
        <v>674116.04</v>
      </c>
    </row>
    <row r="209" customFormat="false" ht="15" hidden="false" customHeight="false" outlineLevel="0" collapsed="false">
      <c r="A209" s="3" t="s">
        <v>234</v>
      </c>
      <c r="B209" s="3" t="s">
        <v>228</v>
      </c>
      <c r="C209" s="3" t="n">
        <v>9</v>
      </c>
      <c r="D209" s="4" t="s">
        <v>22</v>
      </c>
      <c r="E209" s="3" t="s">
        <v>14</v>
      </c>
      <c r="F209" s="5" t="n">
        <v>143</v>
      </c>
      <c r="G209" s="6" t="n">
        <v>3969.86</v>
      </c>
      <c r="H209" s="6" t="n">
        <f aca="false">F209*G209</f>
        <v>567689.98</v>
      </c>
    </row>
    <row r="210" customFormat="false" ht="15" hidden="false" customHeight="false" outlineLevel="0" collapsed="false">
      <c r="A210" s="3" t="s">
        <v>235</v>
      </c>
      <c r="B210" s="3" t="s">
        <v>228</v>
      </c>
      <c r="C210" s="3" t="n">
        <v>9</v>
      </c>
      <c r="D210" s="4" t="s">
        <v>22</v>
      </c>
      <c r="E210" s="3" t="s">
        <v>16</v>
      </c>
      <c r="F210" s="5" t="n">
        <v>156</v>
      </c>
      <c r="G210" s="6" t="n">
        <v>4040.9</v>
      </c>
      <c r="H210" s="6" t="n">
        <f aca="false">F210*G210</f>
        <v>630380.4</v>
      </c>
    </row>
    <row r="211" customFormat="false" ht="15" hidden="false" customHeight="false" outlineLevel="0" collapsed="false">
      <c r="A211" s="3" t="s">
        <v>236</v>
      </c>
      <c r="B211" s="3" t="s">
        <v>228</v>
      </c>
      <c r="C211" s="3" t="n">
        <v>9</v>
      </c>
      <c r="D211" s="4" t="s">
        <v>22</v>
      </c>
      <c r="E211" s="3" t="s">
        <v>18</v>
      </c>
      <c r="F211" s="5" t="n">
        <v>126</v>
      </c>
      <c r="G211" s="6" t="n">
        <v>4517.6</v>
      </c>
      <c r="H211" s="6" t="n">
        <f aca="false">F211*G211</f>
        <v>569217.6</v>
      </c>
    </row>
    <row r="212" customFormat="false" ht="15" hidden="false" customHeight="false" outlineLevel="0" collapsed="false">
      <c r="A212" s="3" t="s">
        <v>237</v>
      </c>
      <c r="B212" s="3" t="s">
        <v>228</v>
      </c>
      <c r="C212" s="3" t="n">
        <v>9</v>
      </c>
      <c r="D212" s="4" t="s">
        <v>22</v>
      </c>
      <c r="E212" s="3" t="s">
        <v>20</v>
      </c>
      <c r="F212" s="5" t="n">
        <v>117</v>
      </c>
      <c r="G212" s="6" t="n">
        <v>4028.27</v>
      </c>
      <c r="H212" s="6" t="n">
        <f aca="false">F212*G212</f>
        <v>471307.59</v>
      </c>
    </row>
    <row r="213" customFormat="false" ht="15" hidden="false" customHeight="false" outlineLevel="0" collapsed="false">
      <c r="A213" s="3" t="s">
        <v>238</v>
      </c>
      <c r="B213" s="3" t="s">
        <v>228</v>
      </c>
      <c r="C213" s="3" t="n">
        <v>9</v>
      </c>
      <c r="D213" s="4" t="s">
        <v>28</v>
      </c>
      <c r="E213" s="3" t="s">
        <v>12</v>
      </c>
      <c r="F213" s="5" t="n">
        <v>160</v>
      </c>
      <c r="G213" s="6" t="n">
        <v>1745.15</v>
      </c>
      <c r="H213" s="6" t="n">
        <f aca="false">F213*G213</f>
        <v>279224</v>
      </c>
    </row>
    <row r="214" customFormat="false" ht="15" hidden="false" customHeight="false" outlineLevel="0" collapsed="false">
      <c r="A214" s="3" t="s">
        <v>239</v>
      </c>
      <c r="B214" s="3" t="s">
        <v>228</v>
      </c>
      <c r="C214" s="3" t="n">
        <v>9</v>
      </c>
      <c r="D214" s="4" t="s">
        <v>28</v>
      </c>
      <c r="E214" s="3" t="s">
        <v>14</v>
      </c>
      <c r="F214" s="5" t="n">
        <v>140</v>
      </c>
      <c r="G214" s="6" t="n">
        <v>1656.31</v>
      </c>
      <c r="H214" s="6" t="n">
        <f aca="false">F214*G214</f>
        <v>231883.4</v>
      </c>
    </row>
    <row r="215" customFormat="false" ht="15" hidden="false" customHeight="false" outlineLevel="0" collapsed="false">
      <c r="A215" s="3" t="s">
        <v>240</v>
      </c>
      <c r="B215" s="3" t="s">
        <v>228</v>
      </c>
      <c r="C215" s="3" t="n">
        <v>9</v>
      </c>
      <c r="D215" s="4" t="s">
        <v>28</v>
      </c>
      <c r="E215" s="3" t="s">
        <v>16</v>
      </c>
      <c r="F215" s="5" t="n">
        <v>135</v>
      </c>
      <c r="G215" s="6" t="n">
        <v>1792.7</v>
      </c>
      <c r="H215" s="6" t="n">
        <f aca="false">F215*G215</f>
        <v>242014.5</v>
      </c>
    </row>
    <row r="216" customFormat="false" ht="15" hidden="false" customHeight="false" outlineLevel="0" collapsed="false">
      <c r="A216" s="3" t="s">
        <v>241</v>
      </c>
      <c r="B216" s="3" t="s">
        <v>228</v>
      </c>
      <c r="C216" s="3" t="n">
        <v>9</v>
      </c>
      <c r="D216" s="4" t="s">
        <v>28</v>
      </c>
      <c r="E216" s="3" t="s">
        <v>18</v>
      </c>
      <c r="F216" s="5" t="n">
        <v>124</v>
      </c>
      <c r="G216" s="6" t="n">
        <v>1713.88</v>
      </c>
      <c r="H216" s="6" t="n">
        <f aca="false">F216*G216</f>
        <v>212521.12</v>
      </c>
    </row>
    <row r="217" customFormat="false" ht="15" hidden="false" customHeight="false" outlineLevel="0" collapsed="false">
      <c r="A217" s="3" t="s">
        <v>242</v>
      </c>
      <c r="B217" s="3" t="s">
        <v>228</v>
      </c>
      <c r="C217" s="3" t="n">
        <v>9</v>
      </c>
      <c r="D217" s="4" t="s">
        <v>28</v>
      </c>
      <c r="E217" s="3" t="s">
        <v>20</v>
      </c>
      <c r="F217" s="5" t="n">
        <v>93</v>
      </c>
      <c r="G217" s="6" t="n">
        <v>1657.43</v>
      </c>
      <c r="H217" s="6" t="n">
        <f aca="false">F217*G217</f>
        <v>154140.99</v>
      </c>
    </row>
    <row r="218" customFormat="false" ht="15" hidden="false" customHeight="false" outlineLevel="0" collapsed="false">
      <c r="A218" s="3" t="s">
        <v>243</v>
      </c>
      <c r="B218" s="3" t="s">
        <v>228</v>
      </c>
      <c r="C218" s="3" t="n">
        <v>9</v>
      </c>
      <c r="D218" s="4" t="s">
        <v>34</v>
      </c>
      <c r="E218" s="3" t="s">
        <v>12</v>
      </c>
      <c r="F218" s="5" t="n">
        <v>163</v>
      </c>
      <c r="G218" s="6" t="n">
        <v>6073.34</v>
      </c>
      <c r="H218" s="6" t="n">
        <f aca="false">F218*G218</f>
        <v>989954.42</v>
      </c>
    </row>
    <row r="219" customFormat="false" ht="15" hidden="false" customHeight="false" outlineLevel="0" collapsed="false">
      <c r="A219" s="3" t="s">
        <v>244</v>
      </c>
      <c r="B219" s="3" t="s">
        <v>228</v>
      </c>
      <c r="C219" s="3" t="n">
        <v>9</v>
      </c>
      <c r="D219" s="4" t="s">
        <v>34</v>
      </c>
      <c r="E219" s="3" t="s">
        <v>14</v>
      </c>
      <c r="F219" s="5" t="n">
        <v>122</v>
      </c>
      <c r="G219" s="6" t="n">
        <v>6023.33</v>
      </c>
      <c r="H219" s="6" t="n">
        <f aca="false">F219*G219</f>
        <v>734846.26</v>
      </c>
    </row>
    <row r="220" customFormat="false" ht="15" hidden="false" customHeight="false" outlineLevel="0" collapsed="false">
      <c r="A220" s="3" t="s">
        <v>245</v>
      </c>
      <c r="B220" s="3" t="s">
        <v>228</v>
      </c>
      <c r="C220" s="3" t="n">
        <v>9</v>
      </c>
      <c r="D220" s="4" t="s">
        <v>34</v>
      </c>
      <c r="E220" s="3" t="s">
        <v>16</v>
      </c>
      <c r="F220" s="5" t="n">
        <v>122</v>
      </c>
      <c r="G220" s="6" t="n">
        <v>6296.41</v>
      </c>
      <c r="H220" s="6" t="n">
        <f aca="false">F220*G220</f>
        <v>768162.02</v>
      </c>
    </row>
    <row r="221" customFormat="false" ht="15" hidden="false" customHeight="false" outlineLevel="0" collapsed="false">
      <c r="A221" s="3" t="s">
        <v>246</v>
      </c>
      <c r="B221" s="3" t="s">
        <v>228</v>
      </c>
      <c r="C221" s="3" t="n">
        <v>9</v>
      </c>
      <c r="D221" s="4" t="s">
        <v>34</v>
      </c>
      <c r="E221" s="3" t="s">
        <v>18</v>
      </c>
      <c r="F221" s="5" t="n">
        <v>125</v>
      </c>
      <c r="G221" s="6" t="n">
        <v>6589.01</v>
      </c>
      <c r="H221" s="6" t="n">
        <f aca="false">F221*G221</f>
        <v>823626.25</v>
      </c>
    </row>
    <row r="222" customFormat="false" ht="15" hidden="false" customHeight="false" outlineLevel="0" collapsed="false">
      <c r="A222" s="3" t="s">
        <v>247</v>
      </c>
      <c r="B222" s="3" t="s">
        <v>228</v>
      </c>
      <c r="C222" s="3" t="n">
        <v>9</v>
      </c>
      <c r="D222" s="4" t="s">
        <v>34</v>
      </c>
      <c r="E222" s="3" t="s">
        <v>20</v>
      </c>
      <c r="F222" s="5" t="n">
        <v>106</v>
      </c>
      <c r="G222" s="6" t="n">
        <v>6760.56</v>
      </c>
      <c r="H222" s="6" t="n">
        <f aca="false">F222*G222</f>
        <v>716619.36</v>
      </c>
    </row>
    <row r="223" customFormat="false" ht="15" hidden="false" customHeight="false" outlineLevel="0" collapsed="false">
      <c r="A223" s="3" t="s">
        <v>248</v>
      </c>
      <c r="B223" s="3" t="s">
        <v>228</v>
      </c>
      <c r="C223" s="3" t="n">
        <v>9</v>
      </c>
      <c r="D223" s="4" t="s">
        <v>40</v>
      </c>
      <c r="E223" s="3" t="s">
        <v>12</v>
      </c>
      <c r="F223" s="5" t="n">
        <v>191</v>
      </c>
      <c r="G223" s="6" t="n">
        <v>3207.13</v>
      </c>
      <c r="H223" s="6" t="n">
        <f aca="false">F223*G223</f>
        <v>612561.83</v>
      </c>
    </row>
    <row r="224" customFormat="false" ht="15" hidden="false" customHeight="false" outlineLevel="0" collapsed="false">
      <c r="A224" s="3" t="s">
        <v>249</v>
      </c>
      <c r="B224" s="3" t="s">
        <v>228</v>
      </c>
      <c r="C224" s="3" t="n">
        <v>9</v>
      </c>
      <c r="D224" s="4" t="s">
        <v>40</v>
      </c>
      <c r="E224" s="3" t="s">
        <v>14</v>
      </c>
      <c r="F224" s="5" t="n">
        <v>137</v>
      </c>
      <c r="G224" s="6" t="n">
        <v>3045.2</v>
      </c>
      <c r="H224" s="6" t="n">
        <f aca="false">F224*G224</f>
        <v>417192.4</v>
      </c>
    </row>
    <row r="225" customFormat="false" ht="15" hidden="false" customHeight="false" outlineLevel="0" collapsed="false">
      <c r="A225" s="3" t="s">
        <v>250</v>
      </c>
      <c r="B225" s="3" t="s">
        <v>228</v>
      </c>
      <c r="C225" s="3" t="n">
        <v>9</v>
      </c>
      <c r="D225" s="4" t="s">
        <v>40</v>
      </c>
      <c r="E225" s="3" t="s">
        <v>16</v>
      </c>
      <c r="F225" s="5" t="n">
        <v>119</v>
      </c>
      <c r="G225" s="6" t="n">
        <v>3340.43</v>
      </c>
      <c r="H225" s="6" t="n">
        <f aca="false">F225*G225</f>
        <v>397511.17</v>
      </c>
    </row>
    <row r="226" customFormat="false" ht="15" hidden="false" customHeight="false" outlineLevel="0" collapsed="false">
      <c r="A226" s="3" t="s">
        <v>251</v>
      </c>
      <c r="B226" s="3" t="s">
        <v>228</v>
      </c>
      <c r="C226" s="3" t="n">
        <v>9</v>
      </c>
      <c r="D226" s="4" t="s">
        <v>40</v>
      </c>
      <c r="E226" s="3" t="s">
        <v>18</v>
      </c>
      <c r="F226" s="5" t="n">
        <v>130</v>
      </c>
      <c r="G226" s="6" t="n">
        <v>3211.18</v>
      </c>
      <c r="H226" s="6" t="n">
        <f aca="false">F226*G226</f>
        <v>417453.4</v>
      </c>
    </row>
    <row r="227" customFormat="false" ht="15" hidden="false" customHeight="false" outlineLevel="0" collapsed="false">
      <c r="A227" s="3" t="s">
        <v>252</v>
      </c>
      <c r="B227" s="3" t="s">
        <v>228</v>
      </c>
      <c r="C227" s="3" t="n">
        <v>9</v>
      </c>
      <c r="D227" s="4" t="s">
        <v>40</v>
      </c>
      <c r="E227" s="3" t="s">
        <v>20</v>
      </c>
      <c r="F227" s="5" t="n">
        <v>113</v>
      </c>
      <c r="G227" s="6" t="n">
        <v>2873.72</v>
      </c>
      <c r="H227" s="6" t="n">
        <f aca="false">F227*G227</f>
        <v>324730.36</v>
      </c>
    </row>
    <row r="228" customFormat="false" ht="15" hidden="false" customHeight="false" outlineLevel="0" collapsed="false">
      <c r="A228" s="3" t="s">
        <v>253</v>
      </c>
      <c r="B228" s="3" t="s">
        <v>254</v>
      </c>
      <c r="C228" s="3" t="n">
        <v>10</v>
      </c>
      <c r="D228" s="4" t="s">
        <v>11</v>
      </c>
      <c r="E228" s="3" t="s">
        <v>12</v>
      </c>
      <c r="F228" s="5" t="n">
        <v>181</v>
      </c>
      <c r="G228" s="6" t="n">
        <v>2656.78</v>
      </c>
      <c r="H228" s="6" t="n">
        <f aca="false">F228*G228</f>
        <v>480877.18</v>
      </c>
    </row>
    <row r="229" customFormat="false" ht="15" hidden="false" customHeight="false" outlineLevel="0" collapsed="false">
      <c r="A229" s="3" t="s">
        <v>255</v>
      </c>
      <c r="B229" s="3" t="s">
        <v>254</v>
      </c>
      <c r="C229" s="3" t="n">
        <v>10</v>
      </c>
      <c r="D229" s="4" t="s">
        <v>11</v>
      </c>
      <c r="E229" s="3" t="s">
        <v>14</v>
      </c>
      <c r="F229" s="5" t="n">
        <v>167</v>
      </c>
      <c r="G229" s="6" t="n">
        <v>2593.54</v>
      </c>
      <c r="H229" s="6" t="n">
        <f aca="false">F229*G229</f>
        <v>433121.18</v>
      </c>
    </row>
    <row r="230" customFormat="false" ht="15" hidden="false" customHeight="false" outlineLevel="0" collapsed="false">
      <c r="A230" s="3" t="s">
        <v>256</v>
      </c>
      <c r="B230" s="3" t="s">
        <v>254</v>
      </c>
      <c r="C230" s="3" t="n">
        <v>10</v>
      </c>
      <c r="D230" s="4" t="s">
        <v>11</v>
      </c>
      <c r="E230" s="3" t="s">
        <v>16</v>
      </c>
      <c r="F230" s="5" t="n">
        <v>140</v>
      </c>
      <c r="G230" s="6" t="n">
        <v>2355.72</v>
      </c>
      <c r="H230" s="6" t="n">
        <f aca="false">F230*G230</f>
        <v>329800.8</v>
      </c>
    </row>
    <row r="231" customFormat="false" ht="15" hidden="false" customHeight="false" outlineLevel="0" collapsed="false">
      <c r="A231" s="3" t="s">
        <v>257</v>
      </c>
      <c r="B231" s="3" t="s">
        <v>254</v>
      </c>
      <c r="C231" s="3" t="n">
        <v>10</v>
      </c>
      <c r="D231" s="4" t="s">
        <v>11</v>
      </c>
      <c r="E231" s="3" t="s">
        <v>18</v>
      </c>
      <c r="F231" s="5" t="n">
        <v>142</v>
      </c>
      <c r="G231" s="6" t="n">
        <v>2501.75</v>
      </c>
      <c r="H231" s="6" t="n">
        <f aca="false">F231*G231</f>
        <v>355248.5</v>
      </c>
    </row>
    <row r="232" customFormat="false" ht="15" hidden="false" customHeight="false" outlineLevel="0" collapsed="false">
      <c r="A232" s="3" t="s">
        <v>258</v>
      </c>
      <c r="B232" s="3" t="s">
        <v>254</v>
      </c>
      <c r="C232" s="3" t="n">
        <v>10</v>
      </c>
      <c r="D232" s="4" t="s">
        <v>11</v>
      </c>
      <c r="E232" s="3" t="s">
        <v>20</v>
      </c>
      <c r="F232" s="5" t="n">
        <v>116</v>
      </c>
      <c r="G232" s="6" t="n">
        <v>2621.87</v>
      </c>
      <c r="H232" s="6" t="n">
        <f aca="false">F232*G232</f>
        <v>304136.92</v>
      </c>
    </row>
    <row r="233" customFormat="false" ht="15" hidden="false" customHeight="false" outlineLevel="0" collapsed="false">
      <c r="A233" s="3" t="s">
        <v>259</v>
      </c>
      <c r="B233" s="3" t="s">
        <v>254</v>
      </c>
      <c r="C233" s="3" t="n">
        <v>10</v>
      </c>
      <c r="D233" s="4" t="s">
        <v>22</v>
      </c>
      <c r="E233" s="3" t="s">
        <v>12</v>
      </c>
      <c r="F233" s="5" t="n">
        <v>197</v>
      </c>
      <c r="G233" s="6" t="n">
        <v>4256.49</v>
      </c>
      <c r="H233" s="6" t="n">
        <f aca="false">F233*G233</f>
        <v>838528.53</v>
      </c>
    </row>
    <row r="234" customFormat="false" ht="15" hidden="false" customHeight="false" outlineLevel="0" collapsed="false">
      <c r="A234" s="3" t="s">
        <v>260</v>
      </c>
      <c r="B234" s="3" t="s">
        <v>254</v>
      </c>
      <c r="C234" s="3" t="n">
        <v>10</v>
      </c>
      <c r="D234" s="4" t="s">
        <v>22</v>
      </c>
      <c r="E234" s="3" t="s">
        <v>14</v>
      </c>
      <c r="F234" s="5" t="n">
        <v>160</v>
      </c>
      <c r="G234" s="6" t="n">
        <v>4322.91</v>
      </c>
      <c r="H234" s="6" t="n">
        <f aca="false">F234*G234</f>
        <v>691665.6</v>
      </c>
    </row>
    <row r="235" customFormat="false" ht="15" hidden="false" customHeight="false" outlineLevel="0" collapsed="false">
      <c r="A235" s="3" t="s">
        <v>261</v>
      </c>
      <c r="B235" s="3" t="s">
        <v>254</v>
      </c>
      <c r="C235" s="3" t="n">
        <v>10</v>
      </c>
      <c r="D235" s="4" t="s">
        <v>22</v>
      </c>
      <c r="E235" s="3" t="s">
        <v>16</v>
      </c>
      <c r="F235" s="5" t="n">
        <v>117</v>
      </c>
      <c r="G235" s="6" t="n">
        <v>4018.52</v>
      </c>
      <c r="H235" s="6" t="n">
        <f aca="false">F235*G235</f>
        <v>470166.84</v>
      </c>
    </row>
    <row r="236" customFormat="false" ht="15" hidden="false" customHeight="false" outlineLevel="0" collapsed="false">
      <c r="A236" s="3" t="s">
        <v>262</v>
      </c>
      <c r="B236" s="3" t="s">
        <v>254</v>
      </c>
      <c r="C236" s="3" t="n">
        <v>10</v>
      </c>
      <c r="D236" s="4" t="s">
        <v>22</v>
      </c>
      <c r="E236" s="3" t="s">
        <v>18</v>
      </c>
      <c r="F236" s="5" t="n">
        <v>121</v>
      </c>
      <c r="G236" s="6" t="n">
        <v>3953.44</v>
      </c>
      <c r="H236" s="6" t="n">
        <f aca="false">F236*G236</f>
        <v>478366.24</v>
      </c>
    </row>
    <row r="237" customFormat="false" ht="15" hidden="false" customHeight="false" outlineLevel="0" collapsed="false">
      <c r="A237" s="3" t="s">
        <v>263</v>
      </c>
      <c r="B237" s="3" t="s">
        <v>254</v>
      </c>
      <c r="C237" s="3" t="n">
        <v>10</v>
      </c>
      <c r="D237" s="4" t="s">
        <v>22</v>
      </c>
      <c r="E237" s="3" t="s">
        <v>20</v>
      </c>
      <c r="F237" s="5" t="n">
        <v>116</v>
      </c>
      <c r="G237" s="6" t="n">
        <v>3934.5</v>
      </c>
      <c r="H237" s="6" t="n">
        <f aca="false">F237*G237</f>
        <v>456402</v>
      </c>
    </row>
    <row r="238" customFormat="false" ht="15" hidden="false" customHeight="false" outlineLevel="0" collapsed="false">
      <c r="A238" s="3" t="s">
        <v>264</v>
      </c>
      <c r="B238" s="3" t="s">
        <v>254</v>
      </c>
      <c r="C238" s="3" t="n">
        <v>10</v>
      </c>
      <c r="D238" s="4" t="s">
        <v>28</v>
      </c>
      <c r="E238" s="3" t="s">
        <v>12</v>
      </c>
      <c r="F238" s="5" t="n">
        <v>181</v>
      </c>
      <c r="G238" s="6" t="n">
        <v>1816.86</v>
      </c>
      <c r="H238" s="6" t="n">
        <f aca="false">F238*G238</f>
        <v>328851.66</v>
      </c>
    </row>
    <row r="239" customFormat="false" ht="15" hidden="false" customHeight="false" outlineLevel="0" collapsed="false">
      <c r="A239" s="3" t="s">
        <v>265</v>
      </c>
      <c r="B239" s="3" t="s">
        <v>254</v>
      </c>
      <c r="C239" s="3" t="n">
        <v>10</v>
      </c>
      <c r="D239" s="4" t="s">
        <v>28</v>
      </c>
      <c r="E239" s="3" t="s">
        <v>14</v>
      </c>
      <c r="F239" s="5" t="n">
        <v>160</v>
      </c>
      <c r="G239" s="6" t="n">
        <v>1836.35</v>
      </c>
      <c r="H239" s="6" t="n">
        <f aca="false">F239*G239</f>
        <v>293816</v>
      </c>
    </row>
    <row r="240" customFormat="false" ht="15" hidden="false" customHeight="false" outlineLevel="0" collapsed="false">
      <c r="A240" s="3" t="s">
        <v>266</v>
      </c>
      <c r="B240" s="3" t="s">
        <v>254</v>
      </c>
      <c r="C240" s="3" t="n">
        <v>10</v>
      </c>
      <c r="D240" s="4" t="s">
        <v>28</v>
      </c>
      <c r="E240" s="3" t="s">
        <v>16</v>
      </c>
      <c r="F240" s="5" t="n">
        <v>115</v>
      </c>
      <c r="G240" s="6" t="n">
        <v>1796.92</v>
      </c>
      <c r="H240" s="6" t="n">
        <f aca="false">F240*G240</f>
        <v>206645.8</v>
      </c>
    </row>
    <row r="241" customFormat="false" ht="15" hidden="false" customHeight="false" outlineLevel="0" collapsed="false">
      <c r="A241" s="3" t="s">
        <v>267</v>
      </c>
      <c r="B241" s="3" t="s">
        <v>254</v>
      </c>
      <c r="C241" s="3" t="n">
        <v>10</v>
      </c>
      <c r="D241" s="4" t="s">
        <v>28</v>
      </c>
      <c r="E241" s="3" t="s">
        <v>18</v>
      </c>
      <c r="F241" s="5" t="n">
        <v>138</v>
      </c>
      <c r="G241" s="6" t="n">
        <v>1885.74</v>
      </c>
      <c r="H241" s="6" t="n">
        <f aca="false">F241*G241</f>
        <v>260232.12</v>
      </c>
    </row>
    <row r="242" customFormat="false" ht="15" hidden="false" customHeight="false" outlineLevel="0" collapsed="false">
      <c r="A242" s="3" t="s">
        <v>268</v>
      </c>
      <c r="B242" s="3" t="s">
        <v>254</v>
      </c>
      <c r="C242" s="3" t="n">
        <v>10</v>
      </c>
      <c r="D242" s="4" t="s">
        <v>28</v>
      </c>
      <c r="E242" s="3" t="s">
        <v>20</v>
      </c>
      <c r="F242" s="5" t="n">
        <v>105</v>
      </c>
      <c r="G242" s="6" t="n">
        <v>1800.86</v>
      </c>
      <c r="H242" s="6" t="n">
        <f aca="false">F242*G242</f>
        <v>189090.3</v>
      </c>
    </row>
    <row r="243" customFormat="false" ht="15" hidden="false" customHeight="false" outlineLevel="0" collapsed="false">
      <c r="A243" s="3" t="s">
        <v>269</v>
      </c>
      <c r="B243" s="3" t="s">
        <v>254</v>
      </c>
      <c r="C243" s="3" t="n">
        <v>10</v>
      </c>
      <c r="D243" s="4" t="s">
        <v>34</v>
      </c>
      <c r="E243" s="3" t="s">
        <v>12</v>
      </c>
      <c r="F243" s="5" t="n">
        <v>148</v>
      </c>
      <c r="G243" s="6" t="n">
        <v>6665.67</v>
      </c>
      <c r="H243" s="6" t="n">
        <f aca="false">F243*G243</f>
        <v>986519.16</v>
      </c>
    </row>
    <row r="244" customFormat="false" ht="15" hidden="false" customHeight="false" outlineLevel="0" collapsed="false">
      <c r="A244" s="3" t="s">
        <v>270</v>
      </c>
      <c r="B244" s="3" t="s">
        <v>254</v>
      </c>
      <c r="C244" s="3" t="n">
        <v>10</v>
      </c>
      <c r="D244" s="4" t="s">
        <v>34</v>
      </c>
      <c r="E244" s="3" t="s">
        <v>14</v>
      </c>
      <c r="F244" s="5" t="n">
        <v>138</v>
      </c>
      <c r="G244" s="6" t="n">
        <v>6746.26</v>
      </c>
      <c r="H244" s="6" t="n">
        <f aca="false">F244*G244</f>
        <v>930983.88</v>
      </c>
    </row>
    <row r="245" customFormat="false" ht="15" hidden="false" customHeight="false" outlineLevel="0" collapsed="false">
      <c r="A245" s="3" t="s">
        <v>271</v>
      </c>
      <c r="B245" s="3" t="s">
        <v>254</v>
      </c>
      <c r="C245" s="3" t="n">
        <v>10</v>
      </c>
      <c r="D245" s="4" t="s">
        <v>34</v>
      </c>
      <c r="E245" s="3" t="s">
        <v>16</v>
      </c>
      <c r="F245" s="5" t="n">
        <v>128</v>
      </c>
      <c r="G245" s="6" t="n">
        <v>6057.43</v>
      </c>
      <c r="H245" s="6" t="n">
        <f aca="false">F245*G245</f>
        <v>775351.04</v>
      </c>
    </row>
    <row r="246" customFormat="false" ht="15" hidden="false" customHeight="false" outlineLevel="0" collapsed="false">
      <c r="A246" s="3" t="s">
        <v>272</v>
      </c>
      <c r="B246" s="3" t="s">
        <v>254</v>
      </c>
      <c r="C246" s="3" t="n">
        <v>10</v>
      </c>
      <c r="D246" s="4" t="s">
        <v>34</v>
      </c>
      <c r="E246" s="3" t="s">
        <v>18</v>
      </c>
      <c r="F246" s="5" t="n">
        <v>114</v>
      </c>
      <c r="G246" s="6" t="n">
        <v>6738.51</v>
      </c>
      <c r="H246" s="6" t="n">
        <f aca="false">F246*G246</f>
        <v>768190.14</v>
      </c>
    </row>
    <row r="247" customFormat="false" ht="15" hidden="false" customHeight="false" outlineLevel="0" collapsed="false">
      <c r="A247" s="3" t="s">
        <v>273</v>
      </c>
      <c r="B247" s="3" t="s">
        <v>254</v>
      </c>
      <c r="C247" s="3" t="n">
        <v>10</v>
      </c>
      <c r="D247" s="4" t="s">
        <v>34</v>
      </c>
      <c r="E247" s="3" t="s">
        <v>20</v>
      </c>
      <c r="F247" s="5" t="n">
        <v>121</v>
      </c>
      <c r="G247" s="6" t="n">
        <v>6749.42</v>
      </c>
      <c r="H247" s="6" t="n">
        <f aca="false">F247*G247</f>
        <v>816679.82</v>
      </c>
    </row>
    <row r="248" customFormat="false" ht="15" hidden="false" customHeight="false" outlineLevel="0" collapsed="false">
      <c r="A248" s="3" t="s">
        <v>274</v>
      </c>
      <c r="B248" s="3" t="s">
        <v>254</v>
      </c>
      <c r="C248" s="3" t="n">
        <v>10</v>
      </c>
      <c r="D248" s="4" t="s">
        <v>40</v>
      </c>
      <c r="E248" s="3" t="s">
        <v>12</v>
      </c>
      <c r="F248" s="5" t="n">
        <v>167</v>
      </c>
      <c r="G248" s="6" t="n">
        <v>3097</v>
      </c>
      <c r="H248" s="6" t="n">
        <f aca="false">F248*G248</f>
        <v>517199</v>
      </c>
    </row>
    <row r="249" customFormat="false" ht="15" hidden="false" customHeight="false" outlineLevel="0" collapsed="false">
      <c r="A249" s="3" t="s">
        <v>275</v>
      </c>
      <c r="B249" s="3" t="s">
        <v>254</v>
      </c>
      <c r="C249" s="3" t="n">
        <v>10</v>
      </c>
      <c r="D249" s="4" t="s">
        <v>40</v>
      </c>
      <c r="E249" s="3" t="s">
        <v>14</v>
      </c>
      <c r="F249" s="5" t="n">
        <v>160</v>
      </c>
      <c r="G249" s="6" t="n">
        <v>3089.59</v>
      </c>
      <c r="H249" s="6" t="n">
        <f aca="false">F249*G249</f>
        <v>494334.4</v>
      </c>
    </row>
    <row r="250" customFormat="false" ht="15" hidden="false" customHeight="false" outlineLevel="0" collapsed="false">
      <c r="A250" s="3" t="s">
        <v>276</v>
      </c>
      <c r="B250" s="3" t="s">
        <v>254</v>
      </c>
      <c r="C250" s="3" t="n">
        <v>10</v>
      </c>
      <c r="D250" s="4" t="s">
        <v>40</v>
      </c>
      <c r="E250" s="3" t="s">
        <v>16</v>
      </c>
      <c r="F250" s="5" t="n">
        <v>144</v>
      </c>
      <c r="G250" s="6" t="n">
        <v>3232.42</v>
      </c>
      <c r="H250" s="6" t="n">
        <f aca="false">F250*G250</f>
        <v>465468.48</v>
      </c>
    </row>
    <row r="251" customFormat="false" ht="15" hidden="false" customHeight="false" outlineLevel="0" collapsed="false">
      <c r="A251" s="3" t="s">
        <v>277</v>
      </c>
      <c r="B251" s="3" t="s">
        <v>254</v>
      </c>
      <c r="C251" s="3" t="n">
        <v>10</v>
      </c>
      <c r="D251" s="4" t="s">
        <v>40</v>
      </c>
      <c r="E251" s="3" t="s">
        <v>18</v>
      </c>
      <c r="F251" s="5" t="n">
        <v>109</v>
      </c>
      <c r="G251" s="6" t="n">
        <v>3170.81</v>
      </c>
      <c r="H251" s="6" t="n">
        <f aca="false">F251*G251</f>
        <v>345618.29</v>
      </c>
    </row>
    <row r="252" customFormat="false" ht="15" hidden="false" customHeight="false" outlineLevel="0" collapsed="false">
      <c r="A252" s="3" t="s">
        <v>278</v>
      </c>
      <c r="B252" s="3" t="s">
        <v>254</v>
      </c>
      <c r="C252" s="3" t="n">
        <v>10</v>
      </c>
      <c r="D252" s="4" t="s">
        <v>40</v>
      </c>
      <c r="E252" s="3" t="s">
        <v>20</v>
      </c>
      <c r="F252" s="5" t="n">
        <v>95</v>
      </c>
      <c r="G252" s="6" t="n">
        <v>2925.12</v>
      </c>
      <c r="H252" s="6" t="n">
        <f aca="false">F252*G252</f>
        <v>277886.4</v>
      </c>
    </row>
    <row r="253" customFormat="false" ht="15" hidden="false" customHeight="false" outlineLevel="0" collapsed="false">
      <c r="A253" s="3" t="s">
        <v>279</v>
      </c>
      <c r="B253" s="3" t="s">
        <v>280</v>
      </c>
      <c r="C253" s="3" t="n">
        <v>11</v>
      </c>
      <c r="D253" s="4" t="s">
        <v>11</v>
      </c>
      <c r="E253" s="3" t="s">
        <v>12</v>
      </c>
      <c r="F253" s="5" t="n">
        <v>167</v>
      </c>
      <c r="G253" s="6" t="n">
        <v>2597.29</v>
      </c>
      <c r="H253" s="6" t="n">
        <f aca="false">F253*G253</f>
        <v>433747.43</v>
      </c>
    </row>
    <row r="254" customFormat="false" ht="15" hidden="false" customHeight="false" outlineLevel="0" collapsed="false">
      <c r="A254" s="3" t="s">
        <v>281</v>
      </c>
      <c r="B254" s="3" t="s">
        <v>280</v>
      </c>
      <c r="C254" s="3" t="n">
        <v>11</v>
      </c>
      <c r="D254" s="4" t="s">
        <v>11</v>
      </c>
      <c r="E254" s="3" t="s">
        <v>14</v>
      </c>
      <c r="F254" s="5" t="n">
        <v>129</v>
      </c>
      <c r="G254" s="6" t="n">
        <v>2527.1</v>
      </c>
      <c r="H254" s="6" t="n">
        <f aca="false">F254*G254</f>
        <v>325995.9</v>
      </c>
    </row>
    <row r="255" customFormat="false" ht="15" hidden="false" customHeight="false" outlineLevel="0" collapsed="false">
      <c r="A255" s="3" t="s">
        <v>282</v>
      </c>
      <c r="B255" s="3" t="s">
        <v>280</v>
      </c>
      <c r="C255" s="3" t="n">
        <v>11</v>
      </c>
      <c r="D255" s="4" t="s">
        <v>11</v>
      </c>
      <c r="E255" s="3" t="s">
        <v>16</v>
      </c>
      <c r="F255" s="5" t="n">
        <v>132</v>
      </c>
      <c r="G255" s="6" t="n">
        <v>2324.26</v>
      </c>
      <c r="H255" s="6" t="n">
        <f aca="false">F255*G255</f>
        <v>306802.32</v>
      </c>
    </row>
    <row r="256" customFormat="false" ht="15" hidden="false" customHeight="false" outlineLevel="0" collapsed="false">
      <c r="A256" s="3" t="s">
        <v>283</v>
      </c>
      <c r="B256" s="3" t="s">
        <v>280</v>
      </c>
      <c r="C256" s="3" t="n">
        <v>11</v>
      </c>
      <c r="D256" s="4" t="s">
        <v>11</v>
      </c>
      <c r="E256" s="3" t="s">
        <v>18</v>
      </c>
      <c r="F256" s="5" t="n">
        <v>140</v>
      </c>
      <c r="G256" s="6" t="n">
        <v>2568.8</v>
      </c>
      <c r="H256" s="6" t="n">
        <f aca="false">F256*G256</f>
        <v>359632</v>
      </c>
    </row>
    <row r="257" customFormat="false" ht="15" hidden="false" customHeight="false" outlineLevel="0" collapsed="false">
      <c r="A257" s="3" t="s">
        <v>284</v>
      </c>
      <c r="B257" s="3" t="s">
        <v>280</v>
      </c>
      <c r="C257" s="3" t="n">
        <v>11</v>
      </c>
      <c r="D257" s="4" t="s">
        <v>11</v>
      </c>
      <c r="E257" s="3" t="s">
        <v>20</v>
      </c>
      <c r="F257" s="5" t="n">
        <v>99</v>
      </c>
      <c r="G257" s="6" t="n">
        <v>2570.28</v>
      </c>
      <c r="H257" s="6" t="n">
        <f aca="false">F257*G257</f>
        <v>254457.72</v>
      </c>
    </row>
    <row r="258" customFormat="false" ht="15" hidden="false" customHeight="false" outlineLevel="0" collapsed="false">
      <c r="A258" s="3" t="s">
        <v>285</v>
      </c>
      <c r="B258" s="3" t="s">
        <v>280</v>
      </c>
      <c r="C258" s="3" t="n">
        <v>11</v>
      </c>
      <c r="D258" s="4" t="s">
        <v>22</v>
      </c>
      <c r="E258" s="3" t="s">
        <v>12</v>
      </c>
      <c r="F258" s="5" t="n">
        <v>177</v>
      </c>
      <c r="G258" s="6" t="n">
        <v>4211.11</v>
      </c>
      <c r="H258" s="6" t="n">
        <f aca="false">F258*G258</f>
        <v>745366.47</v>
      </c>
    </row>
    <row r="259" customFormat="false" ht="15" hidden="false" customHeight="false" outlineLevel="0" collapsed="false">
      <c r="A259" s="3" t="s">
        <v>286</v>
      </c>
      <c r="B259" s="3" t="s">
        <v>280</v>
      </c>
      <c r="C259" s="3" t="n">
        <v>11</v>
      </c>
      <c r="D259" s="4" t="s">
        <v>22</v>
      </c>
      <c r="E259" s="3" t="s">
        <v>14</v>
      </c>
      <c r="F259" s="5" t="n">
        <v>135</v>
      </c>
      <c r="G259" s="6" t="n">
        <v>4177.38</v>
      </c>
      <c r="H259" s="6" t="n">
        <f aca="false">F259*G259</f>
        <v>563946.3</v>
      </c>
    </row>
    <row r="260" customFormat="false" ht="15" hidden="false" customHeight="false" outlineLevel="0" collapsed="false">
      <c r="A260" s="3" t="s">
        <v>287</v>
      </c>
      <c r="B260" s="3" t="s">
        <v>280</v>
      </c>
      <c r="C260" s="3" t="n">
        <v>11</v>
      </c>
      <c r="D260" s="4" t="s">
        <v>22</v>
      </c>
      <c r="E260" s="3" t="s">
        <v>16</v>
      </c>
      <c r="F260" s="5" t="n">
        <v>128</v>
      </c>
      <c r="G260" s="6" t="n">
        <v>4464.54</v>
      </c>
      <c r="H260" s="6" t="n">
        <f aca="false">F260*G260</f>
        <v>571461.12</v>
      </c>
    </row>
    <row r="261" customFormat="false" ht="15" hidden="false" customHeight="false" outlineLevel="0" collapsed="false">
      <c r="A261" s="3" t="s">
        <v>288</v>
      </c>
      <c r="B261" s="3" t="s">
        <v>280</v>
      </c>
      <c r="C261" s="3" t="n">
        <v>11</v>
      </c>
      <c r="D261" s="4" t="s">
        <v>22</v>
      </c>
      <c r="E261" s="3" t="s">
        <v>18</v>
      </c>
      <c r="F261" s="5" t="n">
        <v>151</v>
      </c>
      <c r="G261" s="6" t="n">
        <v>4521.3</v>
      </c>
      <c r="H261" s="6" t="n">
        <f aca="false">F261*G261</f>
        <v>682716.3</v>
      </c>
    </row>
    <row r="262" customFormat="false" ht="15" hidden="false" customHeight="false" outlineLevel="0" collapsed="false">
      <c r="A262" s="3" t="s">
        <v>289</v>
      </c>
      <c r="B262" s="3" t="s">
        <v>280</v>
      </c>
      <c r="C262" s="3" t="n">
        <v>11</v>
      </c>
      <c r="D262" s="4" t="s">
        <v>22</v>
      </c>
      <c r="E262" s="3" t="s">
        <v>20</v>
      </c>
      <c r="F262" s="5" t="n">
        <v>106</v>
      </c>
      <c r="G262" s="6" t="n">
        <v>3875.76</v>
      </c>
      <c r="H262" s="6" t="n">
        <f aca="false">F262*G262</f>
        <v>410830.56</v>
      </c>
    </row>
    <row r="263" customFormat="false" ht="15" hidden="false" customHeight="false" outlineLevel="0" collapsed="false">
      <c r="A263" s="3" t="s">
        <v>290</v>
      </c>
      <c r="B263" s="3" t="s">
        <v>280</v>
      </c>
      <c r="C263" s="3" t="n">
        <v>11</v>
      </c>
      <c r="D263" s="4" t="s">
        <v>28</v>
      </c>
      <c r="E263" s="3" t="s">
        <v>12</v>
      </c>
      <c r="F263" s="5" t="n">
        <v>208</v>
      </c>
      <c r="G263" s="6" t="n">
        <v>1892.13</v>
      </c>
      <c r="H263" s="6" t="n">
        <f aca="false">F263*G263</f>
        <v>393563.04</v>
      </c>
    </row>
    <row r="264" customFormat="false" ht="15" hidden="false" customHeight="false" outlineLevel="0" collapsed="false">
      <c r="A264" s="3" t="s">
        <v>291</v>
      </c>
      <c r="B264" s="3" t="s">
        <v>280</v>
      </c>
      <c r="C264" s="3" t="n">
        <v>11</v>
      </c>
      <c r="D264" s="4" t="s">
        <v>28</v>
      </c>
      <c r="E264" s="3" t="s">
        <v>14</v>
      </c>
      <c r="F264" s="5" t="n">
        <v>143</v>
      </c>
      <c r="G264" s="6" t="n">
        <v>1785.44</v>
      </c>
      <c r="H264" s="6" t="n">
        <f aca="false">F264*G264</f>
        <v>255317.92</v>
      </c>
    </row>
    <row r="265" customFormat="false" ht="15" hidden="false" customHeight="false" outlineLevel="0" collapsed="false">
      <c r="A265" s="3" t="s">
        <v>292</v>
      </c>
      <c r="B265" s="3" t="s">
        <v>280</v>
      </c>
      <c r="C265" s="3" t="n">
        <v>11</v>
      </c>
      <c r="D265" s="4" t="s">
        <v>28</v>
      </c>
      <c r="E265" s="3" t="s">
        <v>16</v>
      </c>
      <c r="F265" s="5" t="n">
        <v>165</v>
      </c>
      <c r="G265" s="6" t="n">
        <v>1716.43</v>
      </c>
      <c r="H265" s="6" t="n">
        <f aca="false">F265*G265</f>
        <v>283210.95</v>
      </c>
    </row>
    <row r="266" customFormat="false" ht="15" hidden="false" customHeight="false" outlineLevel="0" collapsed="false">
      <c r="A266" s="3" t="s">
        <v>293</v>
      </c>
      <c r="B266" s="3" t="s">
        <v>280</v>
      </c>
      <c r="C266" s="3" t="n">
        <v>11</v>
      </c>
      <c r="D266" s="4" t="s">
        <v>28</v>
      </c>
      <c r="E266" s="3" t="s">
        <v>18</v>
      </c>
      <c r="F266" s="5" t="n">
        <v>135</v>
      </c>
      <c r="G266" s="6" t="n">
        <v>1716.68</v>
      </c>
      <c r="H266" s="6" t="n">
        <f aca="false">F266*G266</f>
        <v>231751.8</v>
      </c>
    </row>
    <row r="267" customFormat="false" ht="15" hidden="false" customHeight="false" outlineLevel="0" collapsed="false">
      <c r="A267" s="3" t="s">
        <v>294</v>
      </c>
      <c r="B267" s="3" t="s">
        <v>280</v>
      </c>
      <c r="C267" s="3" t="n">
        <v>11</v>
      </c>
      <c r="D267" s="4" t="s">
        <v>28</v>
      </c>
      <c r="E267" s="3" t="s">
        <v>20</v>
      </c>
      <c r="F267" s="5" t="n">
        <v>108</v>
      </c>
      <c r="G267" s="6" t="n">
        <v>1696.82</v>
      </c>
      <c r="H267" s="6" t="n">
        <f aca="false">F267*G267</f>
        <v>183256.56</v>
      </c>
    </row>
    <row r="268" customFormat="false" ht="15" hidden="false" customHeight="false" outlineLevel="0" collapsed="false">
      <c r="A268" s="3" t="s">
        <v>295</v>
      </c>
      <c r="B268" s="3" t="s">
        <v>280</v>
      </c>
      <c r="C268" s="3" t="n">
        <v>11</v>
      </c>
      <c r="D268" s="4" t="s">
        <v>34</v>
      </c>
      <c r="E268" s="3" t="s">
        <v>12</v>
      </c>
      <c r="F268" s="5" t="n">
        <v>156</v>
      </c>
      <c r="G268" s="6" t="n">
        <v>6970.85</v>
      </c>
      <c r="H268" s="6" t="n">
        <f aca="false">F268*G268</f>
        <v>1087452.6</v>
      </c>
    </row>
    <row r="269" customFormat="false" ht="15" hidden="false" customHeight="false" outlineLevel="0" collapsed="false">
      <c r="A269" s="3" t="s">
        <v>296</v>
      </c>
      <c r="B269" s="3" t="s">
        <v>280</v>
      </c>
      <c r="C269" s="3" t="n">
        <v>11</v>
      </c>
      <c r="D269" s="4" t="s">
        <v>34</v>
      </c>
      <c r="E269" s="3" t="s">
        <v>14</v>
      </c>
      <c r="F269" s="5" t="n">
        <v>155</v>
      </c>
      <c r="G269" s="6" t="n">
        <v>6833.03</v>
      </c>
      <c r="H269" s="6" t="n">
        <f aca="false">F269*G269</f>
        <v>1059119.65</v>
      </c>
    </row>
    <row r="270" customFormat="false" ht="15" hidden="false" customHeight="false" outlineLevel="0" collapsed="false">
      <c r="A270" s="3" t="s">
        <v>297</v>
      </c>
      <c r="B270" s="3" t="s">
        <v>280</v>
      </c>
      <c r="C270" s="3" t="n">
        <v>11</v>
      </c>
      <c r="D270" s="4" t="s">
        <v>34</v>
      </c>
      <c r="E270" s="3" t="s">
        <v>16</v>
      </c>
      <c r="F270" s="5" t="n">
        <v>153</v>
      </c>
      <c r="G270" s="6" t="n">
        <v>6902.34</v>
      </c>
      <c r="H270" s="6" t="n">
        <f aca="false">F270*G270</f>
        <v>1056058.02</v>
      </c>
    </row>
    <row r="271" customFormat="false" ht="15" hidden="false" customHeight="false" outlineLevel="0" collapsed="false">
      <c r="A271" s="3" t="s">
        <v>298</v>
      </c>
      <c r="B271" s="3" t="s">
        <v>280</v>
      </c>
      <c r="C271" s="3" t="n">
        <v>11</v>
      </c>
      <c r="D271" s="4" t="s">
        <v>34</v>
      </c>
      <c r="E271" s="3" t="s">
        <v>18</v>
      </c>
      <c r="F271" s="5" t="n">
        <v>149</v>
      </c>
      <c r="G271" s="6" t="n">
        <v>6220.64</v>
      </c>
      <c r="H271" s="6" t="n">
        <f aca="false">F271*G271</f>
        <v>926875.36</v>
      </c>
    </row>
    <row r="272" customFormat="false" ht="15" hidden="false" customHeight="false" outlineLevel="0" collapsed="false">
      <c r="A272" s="3" t="s">
        <v>299</v>
      </c>
      <c r="B272" s="3" t="s">
        <v>280</v>
      </c>
      <c r="C272" s="3" t="n">
        <v>11</v>
      </c>
      <c r="D272" s="4" t="s">
        <v>34</v>
      </c>
      <c r="E272" s="3" t="s">
        <v>20</v>
      </c>
      <c r="F272" s="5" t="n">
        <v>90</v>
      </c>
      <c r="G272" s="6" t="n">
        <v>6485.59</v>
      </c>
      <c r="H272" s="6" t="n">
        <f aca="false">F272*G272</f>
        <v>583703.1</v>
      </c>
    </row>
    <row r="273" customFormat="false" ht="15" hidden="false" customHeight="false" outlineLevel="0" collapsed="false">
      <c r="A273" s="3" t="s">
        <v>300</v>
      </c>
      <c r="B273" s="3" t="s">
        <v>280</v>
      </c>
      <c r="C273" s="3" t="n">
        <v>11</v>
      </c>
      <c r="D273" s="4" t="s">
        <v>40</v>
      </c>
      <c r="E273" s="3" t="s">
        <v>12</v>
      </c>
      <c r="F273" s="5" t="n">
        <v>178</v>
      </c>
      <c r="G273" s="6" t="n">
        <v>2853.78</v>
      </c>
      <c r="H273" s="6" t="n">
        <f aca="false">F273*G273</f>
        <v>507972.84</v>
      </c>
    </row>
    <row r="274" customFormat="false" ht="15" hidden="false" customHeight="false" outlineLevel="0" collapsed="false">
      <c r="A274" s="3" t="s">
        <v>301</v>
      </c>
      <c r="B274" s="3" t="s">
        <v>280</v>
      </c>
      <c r="C274" s="3" t="n">
        <v>11</v>
      </c>
      <c r="D274" s="4" t="s">
        <v>40</v>
      </c>
      <c r="E274" s="3" t="s">
        <v>14</v>
      </c>
      <c r="F274" s="5" t="n">
        <v>144</v>
      </c>
      <c r="G274" s="6" t="n">
        <v>3075.58</v>
      </c>
      <c r="H274" s="6" t="n">
        <f aca="false">F274*G274</f>
        <v>442883.52</v>
      </c>
    </row>
    <row r="275" customFormat="false" ht="15" hidden="false" customHeight="false" outlineLevel="0" collapsed="false">
      <c r="A275" s="3" t="s">
        <v>302</v>
      </c>
      <c r="B275" s="3" t="s">
        <v>280</v>
      </c>
      <c r="C275" s="3" t="n">
        <v>11</v>
      </c>
      <c r="D275" s="4" t="s">
        <v>40</v>
      </c>
      <c r="E275" s="3" t="s">
        <v>16</v>
      </c>
      <c r="F275" s="5" t="n">
        <v>135</v>
      </c>
      <c r="G275" s="6" t="n">
        <v>2921.79</v>
      </c>
      <c r="H275" s="6" t="n">
        <f aca="false">F275*G275</f>
        <v>394441.65</v>
      </c>
    </row>
    <row r="276" customFormat="false" ht="15" hidden="false" customHeight="false" outlineLevel="0" collapsed="false">
      <c r="A276" s="3" t="s">
        <v>303</v>
      </c>
      <c r="B276" s="3" t="s">
        <v>280</v>
      </c>
      <c r="C276" s="3" t="n">
        <v>11</v>
      </c>
      <c r="D276" s="4" t="s">
        <v>40</v>
      </c>
      <c r="E276" s="3" t="s">
        <v>18</v>
      </c>
      <c r="F276" s="5" t="n">
        <v>146</v>
      </c>
      <c r="G276" s="6" t="n">
        <v>3008.77</v>
      </c>
      <c r="H276" s="6" t="n">
        <f aca="false">F276*G276</f>
        <v>439280.42</v>
      </c>
    </row>
    <row r="277" customFormat="false" ht="15" hidden="false" customHeight="false" outlineLevel="0" collapsed="false">
      <c r="A277" s="3" t="s">
        <v>304</v>
      </c>
      <c r="B277" s="3" t="s">
        <v>280</v>
      </c>
      <c r="C277" s="3" t="n">
        <v>11</v>
      </c>
      <c r="D277" s="4" t="s">
        <v>40</v>
      </c>
      <c r="E277" s="3" t="s">
        <v>20</v>
      </c>
      <c r="F277" s="5" t="n">
        <v>116</v>
      </c>
      <c r="G277" s="6" t="n">
        <v>2852.86</v>
      </c>
      <c r="H277" s="6" t="n">
        <f aca="false">F277*G277</f>
        <v>330931.76</v>
      </c>
    </row>
    <row r="278" customFormat="false" ht="15" hidden="false" customHeight="false" outlineLevel="0" collapsed="false">
      <c r="A278" s="3" t="s">
        <v>305</v>
      </c>
      <c r="B278" s="3" t="s">
        <v>306</v>
      </c>
      <c r="C278" s="3" t="n">
        <v>12</v>
      </c>
      <c r="D278" s="4" t="s">
        <v>11</v>
      </c>
      <c r="E278" s="3" t="s">
        <v>12</v>
      </c>
      <c r="F278" s="5" t="n">
        <v>160</v>
      </c>
      <c r="G278" s="6" t="n">
        <v>2635.64</v>
      </c>
      <c r="H278" s="6" t="n">
        <f aca="false">F278*G278</f>
        <v>421702.4</v>
      </c>
    </row>
    <row r="279" customFormat="false" ht="15" hidden="false" customHeight="false" outlineLevel="0" collapsed="false">
      <c r="A279" s="3" t="s">
        <v>307</v>
      </c>
      <c r="B279" s="3" t="s">
        <v>306</v>
      </c>
      <c r="C279" s="3" t="n">
        <v>12</v>
      </c>
      <c r="D279" s="4" t="s">
        <v>11</v>
      </c>
      <c r="E279" s="3" t="s">
        <v>14</v>
      </c>
      <c r="F279" s="5" t="n">
        <v>171</v>
      </c>
      <c r="G279" s="6" t="n">
        <v>2670.56</v>
      </c>
      <c r="H279" s="6" t="n">
        <f aca="false">F279*G279</f>
        <v>456665.76</v>
      </c>
    </row>
    <row r="280" customFormat="false" ht="15" hidden="false" customHeight="false" outlineLevel="0" collapsed="false">
      <c r="A280" s="3" t="s">
        <v>308</v>
      </c>
      <c r="B280" s="3" t="s">
        <v>306</v>
      </c>
      <c r="C280" s="3" t="n">
        <v>12</v>
      </c>
      <c r="D280" s="4" t="s">
        <v>11</v>
      </c>
      <c r="E280" s="3" t="s">
        <v>16</v>
      </c>
      <c r="F280" s="5" t="n">
        <v>137</v>
      </c>
      <c r="G280" s="6" t="n">
        <v>2660.63</v>
      </c>
      <c r="H280" s="6" t="n">
        <f aca="false">F280*G280</f>
        <v>364506.31</v>
      </c>
    </row>
    <row r="281" customFormat="false" ht="15" hidden="false" customHeight="false" outlineLevel="0" collapsed="false">
      <c r="A281" s="3" t="s">
        <v>309</v>
      </c>
      <c r="B281" s="3" t="s">
        <v>306</v>
      </c>
      <c r="C281" s="3" t="n">
        <v>12</v>
      </c>
      <c r="D281" s="4" t="s">
        <v>11</v>
      </c>
      <c r="E281" s="3" t="s">
        <v>18</v>
      </c>
      <c r="F281" s="5" t="n">
        <v>130</v>
      </c>
      <c r="G281" s="6" t="n">
        <v>2448.89</v>
      </c>
      <c r="H281" s="6" t="n">
        <f aca="false">F281*G281</f>
        <v>318355.7</v>
      </c>
    </row>
    <row r="282" customFormat="false" ht="15" hidden="false" customHeight="false" outlineLevel="0" collapsed="false">
      <c r="A282" s="3" t="s">
        <v>310</v>
      </c>
      <c r="B282" s="3" t="s">
        <v>306</v>
      </c>
      <c r="C282" s="3" t="n">
        <v>12</v>
      </c>
      <c r="D282" s="4" t="s">
        <v>11</v>
      </c>
      <c r="E282" s="3" t="s">
        <v>20</v>
      </c>
      <c r="F282" s="5" t="n">
        <v>114</v>
      </c>
      <c r="G282" s="6" t="n">
        <v>2699.52</v>
      </c>
      <c r="H282" s="6" t="n">
        <f aca="false">F282*G282</f>
        <v>307745.28</v>
      </c>
    </row>
    <row r="283" customFormat="false" ht="15" hidden="false" customHeight="false" outlineLevel="0" collapsed="false">
      <c r="A283" s="3" t="s">
        <v>311</v>
      </c>
      <c r="B283" s="3" t="s">
        <v>306</v>
      </c>
      <c r="C283" s="3" t="n">
        <v>12</v>
      </c>
      <c r="D283" s="4" t="s">
        <v>22</v>
      </c>
      <c r="E283" s="3" t="s">
        <v>12</v>
      </c>
      <c r="F283" s="5" t="n">
        <v>179</v>
      </c>
      <c r="G283" s="6" t="n">
        <v>4106.4</v>
      </c>
      <c r="H283" s="6" t="n">
        <f aca="false">F283*G283</f>
        <v>735045.6</v>
      </c>
    </row>
    <row r="284" customFormat="false" ht="15" hidden="false" customHeight="false" outlineLevel="0" collapsed="false">
      <c r="A284" s="3" t="s">
        <v>312</v>
      </c>
      <c r="B284" s="3" t="s">
        <v>306</v>
      </c>
      <c r="C284" s="3" t="n">
        <v>12</v>
      </c>
      <c r="D284" s="4" t="s">
        <v>22</v>
      </c>
      <c r="E284" s="3" t="s">
        <v>14</v>
      </c>
      <c r="F284" s="5" t="n">
        <v>135</v>
      </c>
      <c r="G284" s="6" t="n">
        <v>4048.9</v>
      </c>
      <c r="H284" s="6" t="n">
        <f aca="false">F284*G284</f>
        <v>546601.5</v>
      </c>
    </row>
    <row r="285" customFormat="false" ht="15" hidden="false" customHeight="false" outlineLevel="0" collapsed="false">
      <c r="A285" s="3" t="s">
        <v>313</v>
      </c>
      <c r="B285" s="3" t="s">
        <v>306</v>
      </c>
      <c r="C285" s="3" t="n">
        <v>12</v>
      </c>
      <c r="D285" s="4" t="s">
        <v>22</v>
      </c>
      <c r="E285" s="3" t="s">
        <v>16</v>
      </c>
      <c r="F285" s="5" t="n">
        <v>164</v>
      </c>
      <c r="G285" s="6" t="n">
        <v>3932.35</v>
      </c>
      <c r="H285" s="6" t="n">
        <f aca="false">F285*G285</f>
        <v>644905.4</v>
      </c>
    </row>
    <row r="286" customFormat="false" ht="15" hidden="false" customHeight="false" outlineLevel="0" collapsed="false">
      <c r="A286" s="3" t="s">
        <v>314</v>
      </c>
      <c r="B286" s="3" t="s">
        <v>306</v>
      </c>
      <c r="C286" s="3" t="n">
        <v>12</v>
      </c>
      <c r="D286" s="4" t="s">
        <v>22</v>
      </c>
      <c r="E286" s="3" t="s">
        <v>18</v>
      </c>
      <c r="F286" s="5" t="n">
        <v>155</v>
      </c>
      <c r="G286" s="6" t="n">
        <v>4055.94</v>
      </c>
      <c r="H286" s="6" t="n">
        <f aca="false">F286*G286</f>
        <v>628670.7</v>
      </c>
    </row>
    <row r="287" customFormat="false" ht="15" hidden="false" customHeight="false" outlineLevel="0" collapsed="false">
      <c r="A287" s="3" t="s">
        <v>315</v>
      </c>
      <c r="B287" s="3" t="s">
        <v>306</v>
      </c>
      <c r="C287" s="3" t="n">
        <v>12</v>
      </c>
      <c r="D287" s="4" t="s">
        <v>22</v>
      </c>
      <c r="E287" s="3" t="s">
        <v>20</v>
      </c>
      <c r="F287" s="5" t="n">
        <v>101</v>
      </c>
      <c r="G287" s="6" t="n">
        <v>4031.55</v>
      </c>
      <c r="H287" s="6" t="n">
        <f aca="false">F287*G287</f>
        <v>407186.55</v>
      </c>
    </row>
    <row r="288" customFormat="false" ht="15" hidden="false" customHeight="false" outlineLevel="0" collapsed="false">
      <c r="A288" s="3" t="s">
        <v>316</v>
      </c>
      <c r="B288" s="3" t="s">
        <v>306</v>
      </c>
      <c r="C288" s="3" t="n">
        <v>12</v>
      </c>
      <c r="D288" s="4" t="s">
        <v>28</v>
      </c>
      <c r="E288" s="3" t="s">
        <v>12</v>
      </c>
      <c r="F288" s="5" t="n">
        <v>164</v>
      </c>
      <c r="G288" s="6" t="n">
        <v>1803.16</v>
      </c>
      <c r="H288" s="6" t="n">
        <f aca="false">F288*G288</f>
        <v>295718.24</v>
      </c>
    </row>
    <row r="289" customFormat="false" ht="15" hidden="false" customHeight="false" outlineLevel="0" collapsed="false">
      <c r="A289" s="3" t="s">
        <v>317</v>
      </c>
      <c r="B289" s="3" t="s">
        <v>306</v>
      </c>
      <c r="C289" s="3" t="n">
        <v>12</v>
      </c>
      <c r="D289" s="4" t="s">
        <v>28</v>
      </c>
      <c r="E289" s="3" t="s">
        <v>14</v>
      </c>
      <c r="F289" s="5" t="n">
        <v>184</v>
      </c>
      <c r="G289" s="6" t="n">
        <v>1763.52</v>
      </c>
      <c r="H289" s="6" t="n">
        <f aca="false">F289*G289</f>
        <v>324487.68</v>
      </c>
    </row>
    <row r="290" customFormat="false" ht="15" hidden="false" customHeight="false" outlineLevel="0" collapsed="false">
      <c r="A290" s="3" t="s">
        <v>318</v>
      </c>
      <c r="B290" s="3" t="s">
        <v>306</v>
      </c>
      <c r="C290" s="3" t="n">
        <v>12</v>
      </c>
      <c r="D290" s="4" t="s">
        <v>28</v>
      </c>
      <c r="E290" s="3" t="s">
        <v>16</v>
      </c>
      <c r="F290" s="5" t="n">
        <v>163</v>
      </c>
      <c r="G290" s="6" t="n">
        <v>1910.67</v>
      </c>
      <c r="H290" s="6" t="n">
        <f aca="false">F290*G290</f>
        <v>311439.21</v>
      </c>
    </row>
    <row r="291" customFormat="false" ht="15" hidden="false" customHeight="false" outlineLevel="0" collapsed="false">
      <c r="A291" s="3" t="s">
        <v>319</v>
      </c>
      <c r="B291" s="3" t="s">
        <v>306</v>
      </c>
      <c r="C291" s="3" t="n">
        <v>12</v>
      </c>
      <c r="D291" s="4" t="s">
        <v>28</v>
      </c>
      <c r="E291" s="3" t="s">
        <v>18</v>
      </c>
      <c r="F291" s="5" t="n">
        <v>154</v>
      </c>
      <c r="G291" s="6" t="n">
        <v>1837.7</v>
      </c>
      <c r="H291" s="6" t="n">
        <f aca="false">F291*G291</f>
        <v>283005.8</v>
      </c>
    </row>
    <row r="292" customFormat="false" ht="15" hidden="false" customHeight="false" outlineLevel="0" collapsed="false">
      <c r="A292" s="3" t="s">
        <v>320</v>
      </c>
      <c r="B292" s="3" t="s">
        <v>306</v>
      </c>
      <c r="C292" s="3" t="n">
        <v>12</v>
      </c>
      <c r="D292" s="4" t="s">
        <v>28</v>
      </c>
      <c r="E292" s="3" t="s">
        <v>20</v>
      </c>
      <c r="F292" s="5" t="n">
        <v>112</v>
      </c>
      <c r="G292" s="6" t="n">
        <v>1926.92</v>
      </c>
      <c r="H292" s="6" t="n">
        <f aca="false">F292*G292</f>
        <v>215815.04</v>
      </c>
    </row>
    <row r="293" customFormat="false" ht="15" hidden="false" customHeight="false" outlineLevel="0" collapsed="false">
      <c r="A293" s="3" t="s">
        <v>321</v>
      </c>
      <c r="B293" s="3" t="s">
        <v>306</v>
      </c>
      <c r="C293" s="3" t="n">
        <v>12</v>
      </c>
      <c r="D293" s="4" t="s">
        <v>34</v>
      </c>
      <c r="E293" s="3" t="s">
        <v>12</v>
      </c>
      <c r="F293" s="5" t="n">
        <v>156</v>
      </c>
      <c r="G293" s="6" t="n">
        <v>6728.36</v>
      </c>
      <c r="H293" s="6" t="n">
        <f aca="false">F293*G293</f>
        <v>1049624.16</v>
      </c>
    </row>
    <row r="294" customFormat="false" ht="15" hidden="false" customHeight="false" outlineLevel="0" collapsed="false">
      <c r="A294" s="3" t="s">
        <v>322</v>
      </c>
      <c r="B294" s="3" t="s">
        <v>306</v>
      </c>
      <c r="C294" s="3" t="n">
        <v>12</v>
      </c>
      <c r="D294" s="4" t="s">
        <v>34</v>
      </c>
      <c r="E294" s="3" t="s">
        <v>14</v>
      </c>
      <c r="F294" s="5" t="n">
        <v>157</v>
      </c>
      <c r="G294" s="6" t="n">
        <v>6741.65</v>
      </c>
      <c r="H294" s="6" t="n">
        <f aca="false">F294*G294</f>
        <v>1058439.05</v>
      </c>
    </row>
    <row r="295" customFormat="false" ht="15" hidden="false" customHeight="false" outlineLevel="0" collapsed="false">
      <c r="A295" s="3" t="s">
        <v>323</v>
      </c>
      <c r="B295" s="3" t="s">
        <v>306</v>
      </c>
      <c r="C295" s="3" t="n">
        <v>12</v>
      </c>
      <c r="D295" s="4" t="s">
        <v>34</v>
      </c>
      <c r="E295" s="3" t="s">
        <v>16</v>
      </c>
      <c r="F295" s="5" t="n">
        <v>154</v>
      </c>
      <c r="G295" s="6" t="n">
        <v>6762.77</v>
      </c>
      <c r="H295" s="6" t="n">
        <f aca="false">F295*G295</f>
        <v>1041466.58</v>
      </c>
    </row>
    <row r="296" customFormat="false" ht="15" hidden="false" customHeight="false" outlineLevel="0" collapsed="false">
      <c r="A296" s="3" t="s">
        <v>324</v>
      </c>
      <c r="B296" s="3" t="s">
        <v>306</v>
      </c>
      <c r="C296" s="3" t="n">
        <v>12</v>
      </c>
      <c r="D296" s="4" t="s">
        <v>34</v>
      </c>
      <c r="E296" s="3" t="s">
        <v>18</v>
      </c>
      <c r="F296" s="5" t="n">
        <v>114</v>
      </c>
      <c r="G296" s="6" t="n">
        <v>6277.66</v>
      </c>
      <c r="H296" s="6" t="n">
        <f aca="false">F296*G296</f>
        <v>715653.24</v>
      </c>
    </row>
    <row r="297" customFormat="false" ht="15" hidden="false" customHeight="false" outlineLevel="0" collapsed="false">
      <c r="A297" s="3" t="s">
        <v>325</v>
      </c>
      <c r="B297" s="3" t="s">
        <v>306</v>
      </c>
      <c r="C297" s="3" t="n">
        <v>12</v>
      </c>
      <c r="D297" s="4" t="s">
        <v>34</v>
      </c>
      <c r="E297" s="3" t="s">
        <v>20</v>
      </c>
      <c r="F297" s="5" t="n">
        <v>96</v>
      </c>
      <c r="G297" s="6" t="n">
        <v>6943.85</v>
      </c>
      <c r="H297" s="6" t="n">
        <f aca="false">F297*G297</f>
        <v>666609.6</v>
      </c>
    </row>
    <row r="298" customFormat="false" ht="15" hidden="false" customHeight="false" outlineLevel="0" collapsed="false">
      <c r="A298" s="3" t="s">
        <v>326</v>
      </c>
      <c r="B298" s="3" t="s">
        <v>306</v>
      </c>
      <c r="C298" s="3" t="n">
        <v>12</v>
      </c>
      <c r="D298" s="4" t="s">
        <v>40</v>
      </c>
      <c r="E298" s="3" t="s">
        <v>12</v>
      </c>
      <c r="F298" s="5" t="n">
        <v>174</v>
      </c>
      <c r="G298" s="6" t="n">
        <v>3086.2</v>
      </c>
      <c r="H298" s="6" t="n">
        <f aca="false">F298*G298</f>
        <v>536998.8</v>
      </c>
    </row>
    <row r="299" customFormat="false" ht="15" hidden="false" customHeight="false" outlineLevel="0" collapsed="false">
      <c r="A299" s="3" t="s">
        <v>327</v>
      </c>
      <c r="B299" s="3" t="s">
        <v>306</v>
      </c>
      <c r="C299" s="3" t="n">
        <v>12</v>
      </c>
      <c r="D299" s="4" t="s">
        <v>40</v>
      </c>
      <c r="E299" s="3" t="s">
        <v>14</v>
      </c>
      <c r="F299" s="5" t="n">
        <v>172</v>
      </c>
      <c r="G299" s="6" t="n">
        <v>2999.69</v>
      </c>
      <c r="H299" s="6" t="n">
        <f aca="false">F299*G299</f>
        <v>515946.68</v>
      </c>
    </row>
    <row r="300" customFormat="false" ht="15" hidden="false" customHeight="false" outlineLevel="0" collapsed="false">
      <c r="A300" s="3" t="s">
        <v>328</v>
      </c>
      <c r="B300" s="3" t="s">
        <v>306</v>
      </c>
      <c r="C300" s="3" t="n">
        <v>12</v>
      </c>
      <c r="D300" s="4" t="s">
        <v>40</v>
      </c>
      <c r="E300" s="3" t="s">
        <v>16</v>
      </c>
      <c r="F300" s="5" t="n">
        <v>135</v>
      </c>
      <c r="G300" s="6" t="n">
        <v>3336.24</v>
      </c>
      <c r="H300" s="6" t="n">
        <f aca="false">F300*G300</f>
        <v>450392.4</v>
      </c>
    </row>
    <row r="301" customFormat="false" ht="15" hidden="false" customHeight="false" outlineLevel="0" collapsed="false">
      <c r="A301" s="3" t="s">
        <v>329</v>
      </c>
      <c r="B301" s="3" t="s">
        <v>306</v>
      </c>
      <c r="C301" s="3" t="n">
        <v>12</v>
      </c>
      <c r="D301" s="4" t="s">
        <v>40</v>
      </c>
      <c r="E301" s="3" t="s">
        <v>18</v>
      </c>
      <c r="F301" s="5" t="n">
        <v>126</v>
      </c>
      <c r="G301" s="6" t="n">
        <v>3177.37</v>
      </c>
      <c r="H301" s="6" t="n">
        <f aca="false">F301*G301</f>
        <v>400348.62</v>
      </c>
    </row>
    <row r="302" customFormat="false" ht="15" hidden="false" customHeight="false" outlineLevel="0" collapsed="false">
      <c r="A302" s="3" t="s">
        <v>330</v>
      </c>
      <c r="B302" s="3" t="s">
        <v>306</v>
      </c>
      <c r="C302" s="3" t="n">
        <v>12</v>
      </c>
      <c r="D302" s="4" t="s">
        <v>40</v>
      </c>
      <c r="E302" s="3" t="s">
        <v>20</v>
      </c>
      <c r="F302" s="5" t="n">
        <v>106</v>
      </c>
      <c r="G302" s="6" t="n">
        <v>3128.43</v>
      </c>
      <c r="H302" s="6" t="n">
        <f aca="false">F302*G302</f>
        <v>331613.58</v>
      </c>
    </row>
    <row r="303" customFormat="false" ht="15" hidden="false" customHeight="false" outlineLevel="0" collapsed="false">
      <c r="A303" s="3" t="s">
        <v>331</v>
      </c>
      <c r="B303" s="3" t="s">
        <v>332</v>
      </c>
      <c r="C303" s="3" t="n">
        <v>13</v>
      </c>
      <c r="D303" s="4" t="s">
        <v>11</v>
      </c>
      <c r="E303" s="3" t="s">
        <v>12</v>
      </c>
      <c r="F303" s="5" t="n">
        <v>113</v>
      </c>
      <c r="G303" s="6" t="n">
        <v>2366.93</v>
      </c>
      <c r="H303" s="6" t="n">
        <f aca="false">F303*G303</f>
        <v>267463.09</v>
      </c>
    </row>
    <row r="304" customFormat="false" ht="15" hidden="false" customHeight="false" outlineLevel="0" collapsed="false">
      <c r="A304" s="3" t="s">
        <v>333</v>
      </c>
      <c r="B304" s="3" t="s">
        <v>332</v>
      </c>
      <c r="C304" s="3" t="n">
        <v>13</v>
      </c>
      <c r="D304" s="4" t="s">
        <v>11</v>
      </c>
      <c r="E304" s="3" t="s">
        <v>14</v>
      </c>
      <c r="F304" s="5" t="n">
        <v>126</v>
      </c>
      <c r="G304" s="6" t="n">
        <v>2383.15</v>
      </c>
      <c r="H304" s="6" t="n">
        <f aca="false">F304*G304</f>
        <v>300276.9</v>
      </c>
    </row>
    <row r="305" customFormat="false" ht="15" hidden="false" customHeight="false" outlineLevel="0" collapsed="false">
      <c r="A305" s="3" t="s">
        <v>334</v>
      </c>
      <c r="B305" s="3" t="s">
        <v>332</v>
      </c>
      <c r="C305" s="3" t="n">
        <v>13</v>
      </c>
      <c r="D305" s="4" t="s">
        <v>11</v>
      </c>
      <c r="E305" s="3" t="s">
        <v>16</v>
      </c>
      <c r="F305" s="5" t="n">
        <v>92</v>
      </c>
      <c r="G305" s="6" t="n">
        <v>2498.83</v>
      </c>
      <c r="H305" s="6" t="n">
        <f aca="false">F305*G305</f>
        <v>229892.36</v>
      </c>
    </row>
    <row r="306" customFormat="false" ht="15" hidden="false" customHeight="false" outlineLevel="0" collapsed="false">
      <c r="A306" s="3" t="s">
        <v>335</v>
      </c>
      <c r="B306" s="3" t="s">
        <v>332</v>
      </c>
      <c r="C306" s="3" t="n">
        <v>13</v>
      </c>
      <c r="D306" s="4" t="s">
        <v>11</v>
      </c>
      <c r="E306" s="3" t="s">
        <v>18</v>
      </c>
      <c r="F306" s="5" t="n">
        <v>109</v>
      </c>
      <c r="G306" s="6" t="n">
        <v>2662.5</v>
      </c>
      <c r="H306" s="6" t="n">
        <f aca="false">F306*G306</f>
        <v>290212.5</v>
      </c>
    </row>
    <row r="307" customFormat="false" ht="15" hidden="false" customHeight="false" outlineLevel="0" collapsed="false">
      <c r="A307" s="3" t="s">
        <v>336</v>
      </c>
      <c r="B307" s="3" t="s">
        <v>332</v>
      </c>
      <c r="C307" s="3" t="n">
        <v>13</v>
      </c>
      <c r="D307" s="4" t="s">
        <v>11</v>
      </c>
      <c r="E307" s="3" t="s">
        <v>20</v>
      </c>
      <c r="F307" s="5" t="n">
        <v>67</v>
      </c>
      <c r="G307" s="6" t="n">
        <v>2479.98</v>
      </c>
      <c r="H307" s="6" t="n">
        <f aca="false">F307*G307</f>
        <v>166158.66</v>
      </c>
    </row>
    <row r="308" customFormat="false" ht="15" hidden="false" customHeight="false" outlineLevel="0" collapsed="false">
      <c r="A308" s="3" t="s">
        <v>337</v>
      </c>
      <c r="B308" s="3" t="s">
        <v>332</v>
      </c>
      <c r="C308" s="3" t="n">
        <v>13</v>
      </c>
      <c r="D308" s="4" t="s">
        <v>22</v>
      </c>
      <c r="E308" s="3" t="s">
        <v>12</v>
      </c>
      <c r="F308" s="5" t="n">
        <v>110</v>
      </c>
      <c r="G308" s="6" t="n">
        <v>3993.3</v>
      </c>
      <c r="H308" s="6" t="n">
        <f aca="false">F308*G308</f>
        <v>439263</v>
      </c>
    </row>
    <row r="309" customFormat="false" ht="15" hidden="false" customHeight="false" outlineLevel="0" collapsed="false">
      <c r="A309" s="3" t="s">
        <v>338</v>
      </c>
      <c r="B309" s="3" t="s">
        <v>332</v>
      </c>
      <c r="C309" s="3" t="n">
        <v>13</v>
      </c>
      <c r="D309" s="4" t="s">
        <v>22</v>
      </c>
      <c r="E309" s="3" t="s">
        <v>14</v>
      </c>
      <c r="F309" s="5" t="n">
        <v>95</v>
      </c>
      <c r="G309" s="6" t="n">
        <v>4093.79</v>
      </c>
      <c r="H309" s="6" t="n">
        <f aca="false">F309*G309</f>
        <v>388910.05</v>
      </c>
    </row>
    <row r="310" customFormat="false" ht="15" hidden="false" customHeight="false" outlineLevel="0" collapsed="false">
      <c r="A310" s="3" t="s">
        <v>339</v>
      </c>
      <c r="B310" s="3" t="s">
        <v>332</v>
      </c>
      <c r="C310" s="3" t="n">
        <v>13</v>
      </c>
      <c r="D310" s="4" t="s">
        <v>22</v>
      </c>
      <c r="E310" s="3" t="s">
        <v>16</v>
      </c>
      <c r="F310" s="5" t="n">
        <v>94</v>
      </c>
      <c r="G310" s="6" t="n">
        <v>4024.69</v>
      </c>
      <c r="H310" s="6" t="n">
        <f aca="false">F310*G310</f>
        <v>378320.86</v>
      </c>
    </row>
    <row r="311" customFormat="false" ht="15" hidden="false" customHeight="false" outlineLevel="0" collapsed="false">
      <c r="A311" s="3" t="s">
        <v>340</v>
      </c>
      <c r="B311" s="3" t="s">
        <v>332</v>
      </c>
      <c r="C311" s="3" t="n">
        <v>13</v>
      </c>
      <c r="D311" s="4" t="s">
        <v>22</v>
      </c>
      <c r="E311" s="3" t="s">
        <v>18</v>
      </c>
      <c r="F311" s="5" t="n">
        <v>106</v>
      </c>
      <c r="G311" s="6" t="n">
        <v>4246.78</v>
      </c>
      <c r="H311" s="6" t="n">
        <f aca="false">F311*G311</f>
        <v>450158.68</v>
      </c>
    </row>
    <row r="312" customFormat="false" ht="15" hidden="false" customHeight="false" outlineLevel="0" collapsed="false">
      <c r="A312" s="3" t="s">
        <v>341</v>
      </c>
      <c r="B312" s="3" t="s">
        <v>332</v>
      </c>
      <c r="C312" s="3" t="n">
        <v>13</v>
      </c>
      <c r="D312" s="4" t="s">
        <v>22</v>
      </c>
      <c r="E312" s="3" t="s">
        <v>20</v>
      </c>
      <c r="F312" s="5" t="n">
        <v>74</v>
      </c>
      <c r="G312" s="6" t="n">
        <v>4367.77</v>
      </c>
      <c r="H312" s="6" t="n">
        <f aca="false">F312*G312</f>
        <v>323214.98</v>
      </c>
    </row>
    <row r="313" customFormat="false" ht="15" hidden="false" customHeight="false" outlineLevel="0" collapsed="false">
      <c r="A313" s="3" t="s">
        <v>342</v>
      </c>
      <c r="B313" s="3" t="s">
        <v>332</v>
      </c>
      <c r="C313" s="3" t="n">
        <v>13</v>
      </c>
      <c r="D313" s="4" t="s">
        <v>28</v>
      </c>
      <c r="E313" s="3" t="s">
        <v>12</v>
      </c>
      <c r="F313" s="5" t="n">
        <v>129</v>
      </c>
      <c r="G313" s="6" t="n">
        <v>1775.2</v>
      </c>
      <c r="H313" s="6" t="n">
        <f aca="false">F313*G313</f>
        <v>229000.8</v>
      </c>
    </row>
    <row r="314" customFormat="false" ht="15" hidden="false" customHeight="false" outlineLevel="0" collapsed="false">
      <c r="A314" s="3" t="s">
        <v>343</v>
      </c>
      <c r="B314" s="3" t="s">
        <v>332</v>
      </c>
      <c r="C314" s="3" t="n">
        <v>13</v>
      </c>
      <c r="D314" s="4" t="s">
        <v>28</v>
      </c>
      <c r="E314" s="3" t="s">
        <v>14</v>
      </c>
      <c r="F314" s="5" t="n">
        <v>104</v>
      </c>
      <c r="G314" s="6" t="n">
        <v>1764.54</v>
      </c>
      <c r="H314" s="6" t="n">
        <f aca="false">F314*G314</f>
        <v>183512.16</v>
      </c>
    </row>
    <row r="315" customFormat="false" ht="15" hidden="false" customHeight="false" outlineLevel="0" collapsed="false">
      <c r="A315" s="3" t="s">
        <v>344</v>
      </c>
      <c r="B315" s="3" t="s">
        <v>332</v>
      </c>
      <c r="C315" s="3" t="n">
        <v>13</v>
      </c>
      <c r="D315" s="4" t="s">
        <v>28</v>
      </c>
      <c r="E315" s="3" t="s">
        <v>16</v>
      </c>
      <c r="F315" s="5" t="n">
        <v>94</v>
      </c>
      <c r="G315" s="6" t="n">
        <v>1673.87</v>
      </c>
      <c r="H315" s="6" t="n">
        <f aca="false">F315*G315</f>
        <v>157343.78</v>
      </c>
    </row>
    <row r="316" customFormat="false" ht="15" hidden="false" customHeight="false" outlineLevel="0" collapsed="false">
      <c r="A316" s="3" t="s">
        <v>345</v>
      </c>
      <c r="B316" s="3" t="s">
        <v>332</v>
      </c>
      <c r="C316" s="3" t="n">
        <v>13</v>
      </c>
      <c r="D316" s="4" t="s">
        <v>28</v>
      </c>
      <c r="E316" s="3" t="s">
        <v>18</v>
      </c>
      <c r="F316" s="5" t="n">
        <v>81</v>
      </c>
      <c r="G316" s="6" t="n">
        <v>1934.69</v>
      </c>
      <c r="H316" s="6" t="n">
        <f aca="false">F316*G316</f>
        <v>156709.89</v>
      </c>
    </row>
    <row r="317" customFormat="false" ht="15" hidden="false" customHeight="false" outlineLevel="0" collapsed="false">
      <c r="A317" s="3" t="s">
        <v>346</v>
      </c>
      <c r="B317" s="3" t="s">
        <v>332</v>
      </c>
      <c r="C317" s="3" t="n">
        <v>13</v>
      </c>
      <c r="D317" s="4" t="s">
        <v>28</v>
      </c>
      <c r="E317" s="3" t="s">
        <v>20</v>
      </c>
      <c r="F317" s="5" t="n">
        <v>80</v>
      </c>
      <c r="G317" s="6" t="n">
        <v>1800.98</v>
      </c>
      <c r="H317" s="6" t="n">
        <f aca="false">F317*G317</f>
        <v>144078.4</v>
      </c>
    </row>
    <row r="318" customFormat="false" ht="15" hidden="false" customHeight="false" outlineLevel="0" collapsed="false">
      <c r="A318" s="3" t="s">
        <v>347</v>
      </c>
      <c r="B318" s="3" t="s">
        <v>332</v>
      </c>
      <c r="C318" s="3" t="n">
        <v>13</v>
      </c>
      <c r="D318" s="4" t="s">
        <v>34</v>
      </c>
      <c r="E318" s="3" t="s">
        <v>12</v>
      </c>
      <c r="F318" s="5" t="n">
        <v>115</v>
      </c>
      <c r="G318" s="6" t="n">
        <v>6877.38</v>
      </c>
      <c r="H318" s="6" t="n">
        <f aca="false">F318*G318</f>
        <v>790898.7</v>
      </c>
    </row>
    <row r="319" customFormat="false" ht="15" hidden="false" customHeight="false" outlineLevel="0" collapsed="false">
      <c r="A319" s="3" t="s">
        <v>348</v>
      </c>
      <c r="B319" s="3" t="s">
        <v>332</v>
      </c>
      <c r="C319" s="3" t="n">
        <v>13</v>
      </c>
      <c r="D319" s="4" t="s">
        <v>34</v>
      </c>
      <c r="E319" s="3" t="s">
        <v>14</v>
      </c>
      <c r="F319" s="5" t="n">
        <v>101</v>
      </c>
      <c r="G319" s="6" t="n">
        <v>6261.86</v>
      </c>
      <c r="H319" s="6" t="n">
        <f aca="false">F319*G319</f>
        <v>632447.86</v>
      </c>
    </row>
    <row r="320" customFormat="false" ht="15" hidden="false" customHeight="false" outlineLevel="0" collapsed="false">
      <c r="A320" s="3" t="s">
        <v>349</v>
      </c>
      <c r="B320" s="3" t="s">
        <v>332</v>
      </c>
      <c r="C320" s="3" t="n">
        <v>13</v>
      </c>
      <c r="D320" s="4" t="s">
        <v>34</v>
      </c>
      <c r="E320" s="3" t="s">
        <v>16</v>
      </c>
      <c r="F320" s="5" t="n">
        <v>100</v>
      </c>
      <c r="G320" s="6" t="n">
        <v>6395.75</v>
      </c>
      <c r="H320" s="6" t="n">
        <f aca="false">F320*G320</f>
        <v>639575</v>
      </c>
    </row>
    <row r="321" customFormat="false" ht="15" hidden="false" customHeight="false" outlineLevel="0" collapsed="false">
      <c r="A321" s="3" t="s">
        <v>350</v>
      </c>
      <c r="B321" s="3" t="s">
        <v>332</v>
      </c>
      <c r="C321" s="3" t="n">
        <v>13</v>
      </c>
      <c r="D321" s="4" t="s">
        <v>34</v>
      </c>
      <c r="E321" s="3" t="s">
        <v>18</v>
      </c>
      <c r="F321" s="5" t="n">
        <v>105</v>
      </c>
      <c r="G321" s="6" t="n">
        <v>6972.1</v>
      </c>
      <c r="H321" s="6" t="n">
        <f aca="false">F321*G321</f>
        <v>732070.5</v>
      </c>
    </row>
    <row r="322" customFormat="false" ht="15" hidden="false" customHeight="false" outlineLevel="0" collapsed="false">
      <c r="A322" s="3" t="s">
        <v>351</v>
      </c>
      <c r="B322" s="3" t="s">
        <v>332</v>
      </c>
      <c r="C322" s="3" t="n">
        <v>13</v>
      </c>
      <c r="D322" s="4" t="s">
        <v>34</v>
      </c>
      <c r="E322" s="3" t="s">
        <v>20</v>
      </c>
      <c r="F322" s="5" t="n">
        <v>64</v>
      </c>
      <c r="G322" s="6" t="n">
        <v>6887.81</v>
      </c>
      <c r="H322" s="6" t="n">
        <f aca="false">F322*G322</f>
        <v>440819.84</v>
      </c>
    </row>
    <row r="323" customFormat="false" ht="15" hidden="false" customHeight="false" outlineLevel="0" collapsed="false">
      <c r="A323" s="3" t="s">
        <v>352</v>
      </c>
      <c r="B323" s="3" t="s">
        <v>332</v>
      </c>
      <c r="C323" s="3" t="n">
        <v>13</v>
      </c>
      <c r="D323" s="4" t="s">
        <v>40</v>
      </c>
      <c r="E323" s="3" t="s">
        <v>12</v>
      </c>
      <c r="F323" s="5" t="n">
        <v>137</v>
      </c>
      <c r="G323" s="6" t="n">
        <v>2867.99</v>
      </c>
      <c r="H323" s="6" t="n">
        <f aca="false">F323*G323</f>
        <v>392914.63</v>
      </c>
    </row>
    <row r="324" customFormat="false" ht="15" hidden="false" customHeight="false" outlineLevel="0" collapsed="false">
      <c r="A324" s="3" t="s">
        <v>353</v>
      </c>
      <c r="B324" s="3" t="s">
        <v>332</v>
      </c>
      <c r="C324" s="3" t="n">
        <v>13</v>
      </c>
      <c r="D324" s="4" t="s">
        <v>40</v>
      </c>
      <c r="E324" s="3" t="s">
        <v>14</v>
      </c>
      <c r="F324" s="5" t="n">
        <v>110</v>
      </c>
      <c r="G324" s="6" t="n">
        <v>3296.27</v>
      </c>
      <c r="H324" s="6" t="n">
        <f aca="false">F324*G324</f>
        <v>362589.7</v>
      </c>
    </row>
    <row r="325" customFormat="false" ht="15" hidden="false" customHeight="false" outlineLevel="0" collapsed="false">
      <c r="A325" s="3" t="s">
        <v>354</v>
      </c>
      <c r="B325" s="3" t="s">
        <v>332</v>
      </c>
      <c r="C325" s="3" t="n">
        <v>13</v>
      </c>
      <c r="D325" s="4" t="s">
        <v>40</v>
      </c>
      <c r="E325" s="3" t="s">
        <v>16</v>
      </c>
      <c r="F325" s="5" t="n">
        <v>85</v>
      </c>
      <c r="G325" s="6" t="n">
        <v>3143.24</v>
      </c>
      <c r="H325" s="6" t="n">
        <f aca="false">F325*G325</f>
        <v>267175.4</v>
      </c>
    </row>
    <row r="326" customFormat="false" ht="15" hidden="false" customHeight="false" outlineLevel="0" collapsed="false">
      <c r="A326" s="3" t="s">
        <v>355</v>
      </c>
      <c r="B326" s="3" t="s">
        <v>332</v>
      </c>
      <c r="C326" s="3" t="n">
        <v>13</v>
      </c>
      <c r="D326" s="4" t="s">
        <v>40</v>
      </c>
      <c r="E326" s="3" t="s">
        <v>18</v>
      </c>
      <c r="F326" s="5" t="n">
        <v>107</v>
      </c>
      <c r="G326" s="6" t="n">
        <v>3046.19</v>
      </c>
      <c r="H326" s="6" t="n">
        <f aca="false">F326*G326</f>
        <v>325942.33</v>
      </c>
    </row>
    <row r="327" customFormat="false" ht="15" hidden="false" customHeight="false" outlineLevel="0" collapsed="false">
      <c r="A327" s="3" t="s">
        <v>356</v>
      </c>
      <c r="B327" s="3" t="s">
        <v>332</v>
      </c>
      <c r="C327" s="3" t="n">
        <v>13</v>
      </c>
      <c r="D327" s="4" t="s">
        <v>40</v>
      </c>
      <c r="E327" s="3" t="s">
        <v>20</v>
      </c>
      <c r="F327" s="5" t="n">
        <v>86</v>
      </c>
      <c r="G327" s="6" t="n">
        <v>3261.49</v>
      </c>
      <c r="H327" s="6" t="n">
        <f aca="false">F327*G327</f>
        <v>280488.14</v>
      </c>
    </row>
    <row r="328" customFormat="false" ht="15" hidden="false" customHeight="false" outlineLevel="0" collapsed="false">
      <c r="A328" s="3" t="s">
        <v>357</v>
      </c>
      <c r="B328" s="3" t="s">
        <v>358</v>
      </c>
      <c r="C328" s="3" t="n">
        <v>14</v>
      </c>
      <c r="D328" s="4" t="s">
        <v>11</v>
      </c>
      <c r="E328" s="3" t="s">
        <v>12</v>
      </c>
      <c r="F328" s="5" t="n">
        <v>121</v>
      </c>
      <c r="G328" s="6" t="n">
        <v>2688.9</v>
      </c>
      <c r="H328" s="6" t="n">
        <f aca="false">F328*G328</f>
        <v>325356.9</v>
      </c>
    </row>
    <row r="329" customFormat="false" ht="15" hidden="false" customHeight="false" outlineLevel="0" collapsed="false">
      <c r="A329" s="3" t="s">
        <v>359</v>
      </c>
      <c r="B329" s="3" t="s">
        <v>358</v>
      </c>
      <c r="C329" s="3" t="n">
        <v>14</v>
      </c>
      <c r="D329" s="4" t="s">
        <v>11</v>
      </c>
      <c r="E329" s="3" t="s">
        <v>14</v>
      </c>
      <c r="F329" s="5" t="n">
        <v>101</v>
      </c>
      <c r="G329" s="6" t="n">
        <v>2343.62</v>
      </c>
      <c r="H329" s="6" t="n">
        <f aca="false">F329*G329</f>
        <v>236705.62</v>
      </c>
    </row>
    <row r="330" customFormat="false" ht="15" hidden="false" customHeight="false" outlineLevel="0" collapsed="false">
      <c r="A330" s="3" t="s">
        <v>360</v>
      </c>
      <c r="B330" s="3" t="s">
        <v>358</v>
      </c>
      <c r="C330" s="3" t="n">
        <v>14</v>
      </c>
      <c r="D330" s="4" t="s">
        <v>11</v>
      </c>
      <c r="E330" s="3" t="s">
        <v>16</v>
      </c>
      <c r="F330" s="5" t="n">
        <v>113</v>
      </c>
      <c r="G330" s="6" t="n">
        <v>2508.95</v>
      </c>
      <c r="H330" s="6" t="n">
        <f aca="false">F330*G330</f>
        <v>283511.35</v>
      </c>
    </row>
    <row r="331" customFormat="false" ht="15" hidden="false" customHeight="false" outlineLevel="0" collapsed="false">
      <c r="A331" s="3" t="s">
        <v>361</v>
      </c>
      <c r="B331" s="3" t="s">
        <v>358</v>
      </c>
      <c r="C331" s="3" t="n">
        <v>14</v>
      </c>
      <c r="D331" s="4" t="s">
        <v>11</v>
      </c>
      <c r="E331" s="3" t="s">
        <v>18</v>
      </c>
      <c r="F331" s="5" t="n">
        <v>105</v>
      </c>
      <c r="G331" s="6" t="n">
        <v>2676.6</v>
      </c>
      <c r="H331" s="6" t="n">
        <f aca="false">F331*G331</f>
        <v>281043</v>
      </c>
    </row>
    <row r="332" customFormat="false" ht="15" hidden="false" customHeight="false" outlineLevel="0" collapsed="false">
      <c r="A332" s="3" t="s">
        <v>362</v>
      </c>
      <c r="B332" s="3" t="s">
        <v>358</v>
      </c>
      <c r="C332" s="3" t="n">
        <v>14</v>
      </c>
      <c r="D332" s="4" t="s">
        <v>11</v>
      </c>
      <c r="E332" s="3" t="s">
        <v>20</v>
      </c>
      <c r="F332" s="5" t="n">
        <v>87</v>
      </c>
      <c r="G332" s="6" t="n">
        <v>2558.94</v>
      </c>
      <c r="H332" s="6" t="n">
        <f aca="false">F332*G332</f>
        <v>222627.78</v>
      </c>
    </row>
    <row r="333" customFormat="false" ht="15" hidden="false" customHeight="false" outlineLevel="0" collapsed="false">
      <c r="A333" s="3" t="s">
        <v>363</v>
      </c>
      <c r="B333" s="3" t="s">
        <v>358</v>
      </c>
      <c r="C333" s="3" t="n">
        <v>14</v>
      </c>
      <c r="D333" s="4" t="s">
        <v>22</v>
      </c>
      <c r="E333" s="3" t="s">
        <v>12</v>
      </c>
      <c r="F333" s="5" t="n">
        <v>135</v>
      </c>
      <c r="G333" s="6" t="n">
        <v>4171.32</v>
      </c>
      <c r="H333" s="6" t="n">
        <f aca="false">F333*G333</f>
        <v>563128.2</v>
      </c>
    </row>
    <row r="334" customFormat="false" ht="15" hidden="false" customHeight="false" outlineLevel="0" collapsed="false">
      <c r="A334" s="3" t="s">
        <v>364</v>
      </c>
      <c r="B334" s="3" t="s">
        <v>358</v>
      </c>
      <c r="C334" s="3" t="n">
        <v>14</v>
      </c>
      <c r="D334" s="4" t="s">
        <v>22</v>
      </c>
      <c r="E334" s="3" t="s">
        <v>14</v>
      </c>
      <c r="F334" s="5" t="n">
        <v>126</v>
      </c>
      <c r="G334" s="6" t="n">
        <v>3890.58</v>
      </c>
      <c r="H334" s="6" t="n">
        <f aca="false">F334*G334</f>
        <v>490213.08</v>
      </c>
    </row>
    <row r="335" customFormat="false" ht="15" hidden="false" customHeight="false" outlineLevel="0" collapsed="false">
      <c r="A335" s="3" t="s">
        <v>365</v>
      </c>
      <c r="B335" s="3" t="s">
        <v>358</v>
      </c>
      <c r="C335" s="3" t="n">
        <v>14</v>
      </c>
      <c r="D335" s="4" t="s">
        <v>22</v>
      </c>
      <c r="E335" s="3" t="s">
        <v>16</v>
      </c>
      <c r="F335" s="5" t="n">
        <v>121</v>
      </c>
      <c r="G335" s="6" t="n">
        <v>4020.29</v>
      </c>
      <c r="H335" s="6" t="n">
        <f aca="false">F335*G335</f>
        <v>486455.09</v>
      </c>
    </row>
    <row r="336" customFormat="false" ht="15" hidden="false" customHeight="false" outlineLevel="0" collapsed="false">
      <c r="A336" s="3" t="s">
        <v>366</v>
      </c>
      <c r="B336" s="3" t="s">
        <v>358</v>
      </c>
      <c r="C336" s="3" t="n">
        <v>14</v>
      </c>
      <c r="D336" s="4" t="s">
        <v>22</v>
      </c>
      <c r="E336" s="3" t="s">
        <v>18</v>
      </c>
      <c r="F336" s="5" t="n">
        <v>91</v>
      </c>
      <c r="G336" s="6" t="n">
        <v>4297.78</v>
      </c>
      <c r="H336" s="6" t="n">
        <f aca="false">F336*G336</f>
        <v>391097.98</v>
      </c>
    </row>
    <row r="337" customFormat="false" ht="15" hidden="false" customHeight="false" outlineLevel="0" collapsed="false">
      <c r="A337" s="3" t="s">
        <v>367</v>
      </c>
      <c r="B337" s="3" t="s">
        <v>358</v>
      </c>
      <c r="C337" s="3" t="n">
        <v>14</v>
      </c>
      <c r="D337" s="4" t="s">
        <v>22</v>
      </c>
      <c r="E337" s="3" t="s">
        <v>20</v>
      </c>
      <c r="F337" s="5" t="n">
        <v>73</v>
      </c>
      <c r="G337" s="6" t="n">
        <v>3949.99</v>
      </c>
      <c r="H337" s="6" t="n">
        <f aca="false">F337*G337</f>
        <v>288349.27</v>
      </c>
    </row>
    <row r="338" customFormat="false" ht="15" hidden="false" customHeight="false" outlineLevel="0" collapsed="false">
      <c r="A338" s="3" t="s">
        <v>368</v>
      </c>
      <c r="B338" s="3" t="s">
        <v>358</v>
      </c>
      <c r="C338" s="3" t="n">
        <v>14</v>
      </c>
      <c r="D338" s="4" t="s">
        <v>28</v>
      </c>
      <c r="E338" s="3" t="s">
        <v>12</v>
      </c>
      <c r="F338" s="5" t="n">
        <v>142</v>
      </c>
      <c r="G338" s="6" t="n">
        <v>1839.25</v>
      </c>
      <c r="H338" s="6" t="n">
        <f aca="false">F338*G338</f>
        <v>261173.5</v>
      </c>
    </row>
    <row r="339" customFormat="false" ht="15" hidden="false" customHeight="false" outlineLevel="0" collapsed="false">
      <c r="A339" s="3" t="s">
        <v>369</v>
      </c>
      <c r="B339" s="3" t="s">
        <v>358</v>
      </c>
      <c r="C339" s="3" t="n">
        <v>14</v>
      </c>
      <c r="D339" s="4" t="s">
        <v>28</v>
      </c>
      <c r="E339" s="3" t="s">
        <v>14</v>
      </c>
      <c r="F339" s="5" t="n">
        <v>98</v>
      </c>
      <c r="G339" s="6" t="n">
        <v>1688.29</v>
      </c>
      <c r="H339" s="6" t="n">
        <f aca="false">F339*G339</f>
        <v>165452.42</v>
      </c>
    </row>
    <row r="340" customFormat="false" ht="15" hidden="false" customHeight="false" outlineLevel="0" collapsed="false">
      <c r="A340" s="3" t="s">
        <v>370</v>
      </c>
      <c r="B340" s="3" t="s">
        <v>358</v>
      </c>
      <c r="C340" s="3" t="n">
        <v>14</v>
      </c>
      <c r="D340" s="4" t="s">
        <v>28</v>
      </c>
      <c r="E340" s="3" t="s">
        <v>16</v>
      </c>
      <c r="F340" s="5" t="n">
        <v>109</v>
      </c>
      <c r="G340" s="6" t="n">
        <v>1807.04</v>
      </c>
      <c r="H340" s="6" t="n">
        <f aca="false">F340*G340</f>
        <v>196967.36</v>
      </c>
    </row>
    <row r="341" customFormat="false" ht="15" hidden="false" customHeight="false" outlineLevel="0" collapsed="false">
      <c r="A341" s="3" t="s">
        <v>371</v>
      </c>
      <c r="B341" s="3" t="s">
        <v>358</v>
      </c>
      <c r="C341" s="3" t="n">
        <v>14</v>
      </c>
      <c r="D341" s="4" t="s">
        <v>28</v>
      </c>
      <c r="E341" s="3" t="s">
        <v>18</v>
      </c>
      <c r="F341" s="5" t="n">
        <v>88</v>
      </c>
      <c r="G341" s="6" t="n">
        <v>1767.77</v>
      </c>
      <c r="H341" s="6" t="n">
        <f aca="false">F341*G341</f>
        <v>155563.76</v>
      </c>
    </row>
    <row r="342" customFormat="false" ht="15" hidden="false" customHeight="false" outlineLevel="0" collapsed="false">
      <c r="A342" s="3" t="s">
        <v>372</v>
      </c>
      <c r="B342" s="3" t="s">
        <v>358</v>
      </c>
      <c r="C342" s="3" t="n">
        <v>14</v>
      </c>
      <c r="D342" s="4" t="s">
        <v>28</v>
      </c>
      <c r="E342" s="3" t="s">
        <v>20</v>
      </c>
      <c r="F342" s="5" t="n">
        <v>66</v>
      </c>
      <c r="G342" s="6" t="n">
        <v>1829.11</v>
      </c>
      <c r="H342" s="6" t="n">
        <f aca="false">F342*G342</f>
        <v>120721.26</v>
      </c>
    </row>
    <row r="343" customFormat="false" ht="15" hidden="false" customHeight="false" outlineLevel="0" collapsed="false">
      <c r="A343" s="3" t="s">
        <v>373</v>
      </c>
      <c r="B343" s="3" t="s">
        <v>358</v>
      </c>
      <c r="C343" s="3" t="n">
        <v>14</v>
      </c>
      <c r="D343" s="4" t="s">
        <v>34</v>
      </c>
      <c r="E343" s="3" t="s">
        <v>12</v>
      </c>
      <c r="F343" s="5" t="n">
        <v>131</v>
      </c>
      <c r="G343" s="6" t="n">
        <v>6293.58</v>
      </c>
      <c r="H343" s="6" t="n">
        <f aca="false">F343*G343</f>
        <v>824458.98</v>
      </c>
    </row>
    <row r="344" customFormat="false" ht="15" hidden="false" customHeight="false" outlineLevel="0" collapsed="false">
      <c r="A344" s="3" t="s">
        <v>374</v>
      </c>
      <c r="B344" s="3" t="s">
        <v>358</v>
      </c>
      <c r="C344" s="3" t="n">
        <v>14</v>
      </c>
      <c r="D344" s="4" t="s">
        <v>34</v>
      </c>
      <c r="E344" s="3" t="s">
        <v>14</v>
      </c>
      <c r="F344" s="5" t="n">
        <v>121</v>
      </c>
      <c r="G344" s="6" t="n">
        <v>6977.3</v>
      </c>
      <c r="H344" s="6" t="n">
        <f aca="false">F344*G344</f>
        <v>844253.3</v>
      </c>
    </row>
    <row r="345" customFormat="false" ht="15" hidden="false" customHeight="false" outlineLevel="0" collapsed="false">
      <c r="A345" s="3" t="s">
        <v>375</v>
      </c>
      <c r="B345" s="3" t="s">
        <v>358</v>
      </c>
      <c r="C345" s="3" t="n">
        <v>14</v>
      </c>
      <c r="D345" s="4" t="s">
        <v>34</v>
      </c>
      <c r="E345" s="3" t="s">
        <v>16</v>
      </c>
      <c r="F345" s="5" t="n">
        <v>105</v>
      </c>
      <c r="G345" s="6" t="n">
        <v>6899.12</v>
      </c>
      <c r="H345" s="6" t="n">
        <f aca="false">F345*G345</f>
        <v>724407.6</v>
      </c>
    </row>
    <row r="346" customFormat="false" ht="15" hidden="false" customHeight="false" outlineLevel="0" collapsed="false">
      <c r="A346" s="3" t="s">
        <v>376</v>
      </c>
      <c r="B346" s="3" t="s">
        <v>358</v>
      </c>
      <c r="C346" s="3" t="n">
        <v>14</v>
      </c>
      <c r="D346" s="4" t="s">
        <v>34</v>
      </c>
      <c r="E346" s="3" t="s">
        <v>18</v>
      </c>
      <c r="F346" s="5" t="n">
        <v>89</v>
      </c>
      <c r="G346" s="6" t="n">
        <v>6224.16</v>
      </c>
      <c r="H346" s="6" t="n">
        <f aca="false">F346*G346</f>
        <v>553950.24</v>
      </c>
    </row>
    <row r="347" customFormat="false" ht="15" hidden="false" customHeight="false" outlineLevel="0" collapsed="false">
      <c r="A347" s="3" t="s">
        <v>377</v>
      </c>
      <c r="B347" s="3" t="s">
        <v>358</v>
      </c>
      <c r="C347" s="3" t="n">
        <v>14</v>
      </c>
      <c r="D347" s="4" t="s">
        <v>34</v>
      </c>
      <c r="E347" s="3" t="s">
        <v>20</v>
      </c>
      <c r="F347" s="5" t="n">
        <v>85</v>
      </c>
      <c r="G347" s="6" t="n">
        <v>6979.04</v>
      </c>
      <c r="H347" s="6" t="n">
        <f aca="false">F347*G347</f>
        <v>593218.4</v>
      </c>
    </row>
    <row r="348" customFormat="false" ht="15" hidden="false" customHeight="false" outlineLevel="0" collapsed="false">
      <c r="A348" s="3" t="s">
        <v>378</v>
      </c>
      <c r="B348" s="3" t="s">
        <v>358</v>
      </c>
      <c r="C348" s="3" t="n">
        <v>14</v>
      </c>
      <c r="D348" s="4" t="s">
        <v>40</v>
      </c>
      <c r="E348" s="3" t="s">
        <v>12</v>
      </c>
      <c r="F348" s="5" t="n">
        <v>111</v>
      </c>
      <c r="G348" s="6" t="n">
        <v>3004.47</v>
      </c>
      <c r="H348" s="6" t="n">
        <f aca="false">F348*G348</f>
        <v>333496.17</v>
      </c>
    </row>
    <row r="349" customFormat="false" ht="15" hidden="false" customHeight="false" outlineLevel="0" collapsed="false">
      <c r="A349" s="3" t="s">
        <v>379</v>
      </c>
      <c r="B349" s="3" t="s">
        <v>358</v>
      </c>
      <c r="C349" s="3" t="n">
        <v>14</v>
      </c>
      <c r="D349" s="4" t="s">
        <v>40</v>
      </c>
      <c r="E349" s="3" t="s">
        <v>14</v>
      </c>
      <c r="F349" s="5" t="n">
        <v>122</v>
      </c>
      <c r="G349" s="6" t="n">
        <v>3099.16</v>
      </c>
      <c r="H349" s="6" t="n">
        <f aca="false">F349*G349</f>
        <v>378097.52</v>
      </c>
    </row>
    <row r="350" customFormat="false" ht="15" hidden="false" customHeight="false" outlineLevel="0" collapsed="false">
      <c r="A350" s="3" t="s">
        <v>380</v>
      </c>
      <c r="B350" s="3" t="s">
        <v>358</v>
      </c>
      <c r="C350" s="3" t="n">
        <v>14</v>
      </c>
      <c r="D350" s="4" t="s">
        <v>40</v>
      </c>
      <c r="E350" s="3" t="s">
        <v>16</v>
      </c>
      <c r="F350" s="5" t="n">
        <v>97</v>
      </c>
      <c r="G350" s="6" t="n">
        <v>3060.33</v>
      </c>
      <c r="H350" s="6" t="n">
        <f aca="false">F350*G350</f>
        <v>296852.01</v>
      </c>
    </row>
    <row r="351" customFormat="false" ht="15" hidden="false" customHeight="false" outlineLevel="0" collapsed="false">
      <c r="A351" s="3" t="s">
        <v>381</v>
      </c>
      <c r="B351" s="3" t="s">
        <v>358</v>
      </c>
      <c r="C351" s="3" t="n">
        <v>14</v>
      </c>
      <c r="D351" s="4" t="s">
        <v>40</v>
      </c>
      <c r="E351" s="3" t="s">
        <v>18</v>
      </c>
      <c r="F351" s="5" t="n">
        <v>111</v>
      </c>
      <c r="G351" s="6" t="n">
        <v>3183.01</v>
      </c>
      <c r="H351" s="6" t="n">
        <f aca="false">F351*G351</f>
        <v>353314.11</v>
      </c>
    </row>
    <row r="352" customFormat="false" ht="15" hidden="false" customHeight="false" outlineLevel="0" collapsed="false">
      <c r="A352" s="3" t="s">
        <v>382</v>
      </c>
      <c r="B352" s="3" t="s">
        <v>358</v>
      </c>
      <c r="C352" s="3" t="n">
        <v>14</v>
      </c>
      <c r="D352" s="4" t="s">
        <v>40</v>
      </c>
      <c r="E352" s="3" t="s">
        <v>20</v>
      </c>
      <c r="F352" s="5" t="n">
        <v>67</v>
      </c>
      <c r="G352" s="6" t="n">
        <v>2964.49</v>
      </c>
      <c r="H352" s="6" t="n">
        <f aca="false">F352*G352</f>
        <v>198620.83</v>
      </c>
    </row>
    <row r="353" customFormat="false" ht="15" hidden="false" customHeight="false" outlineLevel="0" collapsed="false">
      <c r="A353" s="3" t="s">
        <v>383</v>
      </c>
      <c r="B353" s="3" t="s">
        <v>384</v>
      </c>
      <c r="C353" s="3" t="n">
        <v>15</v>
      </c>
      <c r="D353" s="4" t="s">
        <v>11</v>
      </c>
      <c r="E353" s="3" t="s">
        <v>12</v>
      </c>
      <c r="F353" s="5" t="n">
        <v>134</v>
      </c>
      <c r="G353" s="6" t="n">
        <v>2435.22</v>
      </c>
      <c r="H353" s="6" t="n">
        <f aca="false">F353*G353</f>
        <v>326319.48</v>
      </c>
    </row>
    <row r="354" customFormat="false" ht="15" hidden="false" customHeight="false" outlineLevel="0" collapsed="false">
      <c r="A354" s="3" t="s">
        <v>385</v>
      </c>
      <c r="B354" s="3" t="s">
        <v>384</v>
      </c>
      <c r="C354" s="3" t="n">
        <v>15</v>
      </c>
      <c r="D354" s="4" t="s">
        <v>11</v>
      </c>
      <c r="E354" s="3" t="s">
        <v>14</v>
      </c>
      <c r="F354" s="5" t="n">
        <v>107</v>
      </c>
      <c r="G354" s="6" t="n">
        <v>2573.03</v>
      </c>
      <c r="H354" s="6" t="n">
        <f aca="false">F354*G354</f>
        <v>275314.21</v>
      </c>
    </row>
    <row r="355" customFormat="false" ht="15" hidden="false" customHeight="false" outlineLevel="0" collapsed="false">
      <c r="A355" s="3" t="s">
        <v>386</v>
      </c>
      <c r="B355" s="3" t="s">
        <v>384</v>
      </c>
      <c r="C355" s="3" t="n">
        <v>15</v>
      </c>
      <c r="D355" s="4" t="s">
        <v>11</v>
      </c>
      <c r="E355" s="3" t="s">
        <v>16</v>
      </c>
      <c r="F355" s="5" t="n">
        <v>119</v>
      </c>
      <c r="G355" s="6" t="n">
        <v>2618.83</v>
      </c>
      <c r="H355" s="6" t="n">
        <f aca="false">F355*G355</f>
        <v>311640.77</v>
      </c>
    </row>
    <row r="356" customFormat="false" ht="15" hidden="false" customHeight="false" outlineLevel="0" collapsed="false">
      <c r="A356" s="3" t="s">
        <v>387</v>
      </c>
      <c r="B356" s="3" t="s">
        <v>384</v>
      </c>
      <c r="C356" s="3" t="n">
        <v>15</v>
      </c>
      <c r="D356" s="4" t="s">
        <v>11</v>
      </c>
      <c r="E356" s="3" t="s">
        <v>18</v>
      </c>
      <c r="F356" s="5" t="n">
        <v>91</v>
      </c>
      <c r="G356" s="6" t="n">
        <v>2501.95</v>
      </c>
      <c r="H356" s="6" t="n">
        <f aca="false">F356*G356</f>
        <v>227677.45</v>
      </c>
    </row>
    <row r="357" customFormat="false" ht="15" hidden="false" customHeight="false" outlineLevel="0" collapsed="false">
      <c r="A357" s="3" t="s">
        <v>388</v>
      </c>
      <c r="B357" s="3" t="s">
        <v>384</v>
      </c>
      <c r="C357" s="3" t="n">
        <v>15</v>
      </c>
      <c r="D357" s="4" t="s">
        <v>11</v>
      </c>
      <c r="E357" s="3" t="s">
        <v>20</v>
      </c>
      <c r="F357" s="5" t="n">
        <v>77</v>
      </c>
      <c r="G357" s="6" t="n">
        <v>2687.94</v>
      </c>
      <c r="H357" s="6" t="n">
        <f aca="false">F357*G357</f>
        <v>206971.38</v>
      </c>
    </row>
    <row r="358" customFormat="false" ht="15" hidden="false" customHeight="false" outlineLevel="0" collapsed="false">
      <c r="A358" s="3" t="s">
        <v>389</v>
      </c>
      <c r="B358" s="3" t="s">
        <v>384</v>
      </c>
      <c r="C358" s="3" t="n">
        <v>15</v>
      </c>
      <c r="D358" s="4" t="s">
        <v>22</v>
      </c>
      <c r="E358" s="3" t="s">
        <v>12</v>
      </c>
      <c r="F358" s="5" t="n">
        <v>125</v>
      </c>
      <c r="G358" s="6" t="n">
        <v>4415.04</v>
      </c>
      <c r="H358" s="6" t="n">
        <f aca="false">F358*G358</f>
        <v>551880</v>
      </c>
    </row>
    <row r="359" customFormat="false" ht="15" hidden="false" customHeight="false" outlineLevel="0" collapsed="false">
      <c r="A359" s="3" t="s">
        <v>390</v>
      </c>
      <c r="B359" s="3" t="s">
        <v>384</v>
      </c>
      <c r="C359" s="3" t="n">
        <v>15</v>
      </c>
      <c r="D359" s="4" t="s">
        <v>22</v>
      </c>
      <c r="E359" s="3" t="s">
        <v>14</v>
      </c>
      <c r="F359" s="5" t="n">
        <v>130</v>
      </c>
      <c r="G359" s="6" t="n">
        <v>4012.81</v>
      </c>
      <c r="H359" s="6" t="n">
        <f aca="false">F359*G359</f>
        <v>521665.3</v>
      </c>
    </row>
    <row r="360" customFormat="false" ht="15" hidden="false" customHeight="false" outlineLevel="0" collapsed="false">
      <c r="A360" s="3" t="s">
        <v>391</v>
      </c>
      <c r="B360" s="3" t="s">
        <v>384</v>
      </c>
      <c r="C360" s="3" t="n">
        <v>15</v>
      </c>
      <c r="D360" s="4" t="s">
        <v>22</v>
      </c>
      <c r="E360" s="3" t="s">
        <v>16</v>
      </c>
      <c r="F360" s="5" t="n">
        <v>127</v>
      </c>
      <c r="G360" s="6" t="n">
        <v>4062.19</v>
      </c>
      <c r="H360" s="6" t="n">
        <f aca="false">F360*G360</f>
        <v>515898.13</v>
      </c>
    </row>
    <row r="361" customFormat="false" ht="15" hidden="false" customHeight="false" outlineLevel="0" collapsed="false">
      <c r="A361" s="3" t="s">
        <v>392</v>
      </c>
      <c r="B361" s="3" t="s">
        <v>384</v>
      </c>
      <c r="C361" s="3" t="n">
        <v>15</v>
      </c>
      <c r="D361" s="4" t="s">
        <v>22</v>
      </c>
      <c r="E361" s="3" t="s">
        <v>18</v>
      </c>
      <c r="F361" s="5" t="n">
        <v>90</v>
      </c>
      <c r="G361" s="6" t="n">
        <v>4197.15</v>
      </c>
      <c r="H361" s="6" t="n">
        <f aca="false">F361*G361</f>
        <v>377743.5</v>
      </c>
    </row>
    <row r="362" customFormat="false" ht="15" hidden="false" customHeight="false" outlineLevel="0" collapsed="false">
      <c r="A362" s="3" t="s">
        <v>393</v>
      </c>
      <c r="B362" s="3" t="s">
        <v>384</v>
      </c>
      <c r="C362" s="3" t="n">
        <v>15</v>
      </c>
      <c r="D362" s="4" t="s">
        <v>22</v>
      </c>
      <c r="E362" s="3" t="s">
        <v>20</v>
      </c>
      <c r="F362" s="5" t="n">
        <v>80</v>
      </c>
      <c r="G362" s="6" t="n">
        <v>4014.07</v>
      </c>
      <c r="H362" s="6" t="n">
        <f aca="false">F362*G362</f>
        <v>321125.6</v>
      </c>
    </row>
    <row r="363" customFormat="false" ht="15" hidden="false" customHeight="false" outlineLevel="0" collapsed="false">
      <c r="A363" s="3" t="s">
        <v>394</v>
      </c>
      <c r="B363" s="3" t="s">
        <v>384</v>
      </c>
      <c r="C363" s="3" t="n">
        <v>15</v>
      </c>
      <c r="D363" s="4" t="s">
        <v>28</v>
      </c>
      <c r="E363" s="3" t="s">
        <v>12</v>
      </c>
      <c r="F363" s="5" t="n">
        <v>159</v>
      </c>
      <c r="G363" s="6" t="n">
        <v>1847.6</v>
      </c>
      <c r="H363" s="6" t="n">
        <f aca="false">F363*G363</f>
        <v>293768.4</v>
      </c>
    </row>
    <row r="364" customFormat="false" ht="15" hidden="false" customHeight="false" outlineLevel="0" collapsed="false">
      <c r="A364" s="3" t="s">
        <v>395</v>
      </c>
      <c r="B364" s="3" t="s">
        <v>384</v>
      </c>
      <c r="C364" s="3" t="n">
        <v>15</v>
      </c>
      <c r="D364" s="4" t="s">
        <v>28</v>
      </c>
      <c r="E364" s="3" t="s">
        <v>14</v>
      </c>
      <c r="F364" s="5" t="n">
        <v>115</v>
      </c>
      <c r="G364" s="6" t="n">
        <v>1698.16</v>
      </c>
      <c r="H364" s="6" t="n">
        <f aca="false">F364*G364</f>
        <v>195288.4</v>
      </c>
    </row>
    <row r="365" customFormat="false" ht="15" hidden="false" customHeight="false" outlineLevel="0" collapsed="false">
      <c r="A365" s="3" t="s">
        <v>396</v>
      </c>
      <c r="B365" s="3" t="s">
        <v>384</v>
      </c>
      <c r="C365" s="3" t="n">
        <v>15</v>
      </c>
      <c r="D365" s="4" t="s">
        <v>28</v>
      </c>
      <c r="E365" s="3" t="s">
        <v>16</v>
      </c>
      <c r="F365" s="5" t="n">
        <v>128</v>
      </c>
      <c r="G365" s="6" t="n">
        <v>1717.33</v>
      </c>
      <c r="H365" s="6" t="n">
        <f aca="false">F365*G365</f>
        <v>219818.24</v>
      </c>
    </row>
    <row r="366" customFormat="false" ht="15" hidden="false" customHeight="false" outlineLevel="0" collapsed="false">
      <c r="A366" s="3" t="s">
        <v>397</v>
      </c>
      <c r="B366" s="3" t="s">
        <v>384</v>
      </c>
      <c r="C366" s="3" t="n">
        <v>15</v>
      </c>
      <c r="D366" s="4" t="s">
        <v>28</v>
      </c>
      <c r="E366" s="3" t="s">
        <v>18</v>
      </c>
      <c r="F366" s="5" t="n">
        <v>85</v>
      </c>
      <c r="G366" s="6" t="n">
        <v>1696.87</v>
      </c>
      <c r="H366" s="6" t="n">
        <f aca="false">F366*G366</f>
        <v>144233.95</v>
      </c>
    </row>
    <row r="367" customFormat="false" ht="15" hidden="false" customHeight="false" outlineLevel="0" collapsed="false">
      <c r="A367" s="3" t="s">
        <v>398</v>
      </c>
      <c r="B367" s="3" t="s">
        <v>384</v>
      </c>
      <c r="C367" s="3" t="n">
        <v>15</v>
      </c>
      <c r="D367" s="4" t="s">
        <v>28</v>
      </c>
      <c r="E367" s="3" t="s">
        <v>20</v>
      </c>
      <c r="F367" s="5" t="n">
        <v>80</v>
      </c>
      <c r="G367" s="6" t="n">
        <v>1673.32</v>
      </c>
      <c r="H367" s="6" t="n">
        <f aca="false">F367*G367</f>
        <v>133865.6</v>
      </c>
    </row>
    <row r="368" customFormat="false" ht="15" hidden="false" customHeight="false" outlineLevel="0" collapsed="false">
      <c r="A368" s="3" t="s">
        <v>399</v>
      </c>
      <c r="B368" s="3" t="s">
        <v>384</v>
      </c>
      <c r="C368" s="3" t="n">
        <v>15</v>
      </c>
      <c r="D368" s="4" t="s">
        <v>34</v>
      </c>
      <c r="E368" s="3" t="s">
        <v>12</v>
      </c>
      <c r="F368" s="5" t="n">
        <v>156</v>
      </c>
      <c r="G368" s="6" t="n">
        <v>6914.09</v>
      </c>
      <c r="H368" s="6" t="n">
        <f aca="false">F368*G368</f>
        <v>1078598.04</v>
      </c>
    </row>
    <row r="369" customFormat="false" ht="15" hidden="false" customHeight="false" outlineLevel="0" collapsed="false">
      <c r="A369" s="3" t="s">
        <v>400</v>
      </c>
      <c r="B369" s="3" t="s">
        <v>384</v>
      </c>
      <c r="C369" s="3" t="n">
        <v>15</v>
      </c>
      <c r="D369" s="4" t="s">
        <v>34</v>
      </c>
      <c r="E369" s="3" t="s">
        <v>14</v>
      </c>
      <c r="F369" s="5" t="n">
        <v>140</v>
      </c>
      <c r="G369" s="6" t="n">
        <v>6742.03</v>
      </c>
      <c r="H369" s="6" t="n">
        <f aca="false">F369*G369</f>
        <v>943884.2</v>
      </c>
    </row>
    <row r="370" customFormat="false" ht="15" hidden="false" customHeight="false" outlineLevel="0" collapsed="false">
      <c r="A370" s="3" t="s">
        <v>401</v>
      </c>
      <c r="B370" s="3" t="s">
        <v>384</v>
      </c>
      <c r="C370" s="3" t="n">
        <v>15</v>
      </c>
      <c r="D370" s="4" t="s">
        <v>34</v>
      </c>
      <c r="E370" s="3" t="s">
        <v>16</v>
      </c>
      <c r="F370" s="5" t="n">
        <v>104</v>
      </c>
      <c r="G370" s="6" t="n">
        <v>6948.86</v>
      </c>
      <c r="H370" s="6" t="n">
        <f aca="false">F370*G370</f>
        <v>722681.44</v>
      </c>
    </row>
    <row r="371" customFormat="false" ht="15" hidden="false" customHeight="false" outlineLevel="0" collapsed="false">
      <c r="A371" s="3" t="s">
        <v>402</v>
      </c>
      <c r="B371" s="3" t="s">
        <v>384</v>
      </c>
      <c r="C371" s="3" t="n">
        <v>15</v>
      </c>
      <c r="D371" s="4" t="s">
        <v>34</v>
      </c>
      <c r="E371" s="3" t="s">
        <v>18</v>
      </c>
      <c r="F371" s="5" t="n">
        <v>116</v>
      </c>
      <c r="G371" s="6" t="n">
        <v>6172.93</v>
      </c>
      <c r="H371" s="6" t="n">
        <f aca="false">F371*G371</f>
        <v>716059.88</v>
      </c>
    </row>
    <row r="372" customFormat="false" ht="15" hidden="false" customHeight="false" outlineLevel="0" collapsed="false">
      <c r="A372" s="3" t="s">
        <v>403</v>
      </c>
      <c r="B372" s="3" t="s">
        <v>384</v>
      </c>
      <c r="C372" s="3" t="n">
        <v>15</v>
      </c>
      <c r="D372" s="4" t="s">
        <v>34</v>
      </c>
      <c r="E372" s="3" t="s">
        <v>20</v>
      </c>
      <c r="F372" s="5" t="n">
        <v>69</v>
      </c>
      <c r="G372" s="6" t="n">
        <v>6756.16</v>
      </c>
      <c r="H372" s="6" t="n">
        <f aca="false">F372*G372</f>
        <v>466175.04</v>
      </c>
    </row>
    <row r="373" customFormat="false" ht="15" hidden="false" customHeight="false" outlineLevel="0" collapsed="false">
      <c r="A373" s="3" t="s">
        <v>404</v>
      </c>
      <c r="B373" s="3" t="s">
        <v>384</v>
      </c>
      <c r="C373" s="3" t="n">
        <v>15</v>
      </c>
      <c r="D373" s="4" t="s">
        <v>40</v>
      </c>
      <c r="E373" s="3" t="s">
        <v>12</v>
      </c>
      <c r="F373" s="5" t="n">
        <v>132</v>
      </c>
      <c r="G373" s="6" t="n">
        <v>3181.56</v>
      </c>
      <c r="H373" s="6" t="n">
        <f aca="false">F373*G373</f>
        <v>419965.92</v>
      </c>
    </row>
    <row r="374" customFormat="false" ht="15" hidden="false" customHeight="false" outlineLevel="0" collapsed="false">
      <c r="A374" s="3" t="s">
        <v>405</v>
      </c>
      <c r="B374" s="3" t="s">
        <v>384</v>
      </c>
      <c r="C374" s="3" t="n">
        <v>15</v>
      </c>
      <c r="D374" s="4" t="s">
        <v>40</v>
      </c>
      <c r="E374" s="3" t="s">
        <v>14</v>
      </c>
      <c r="F374" s="5" t="n">
        <v>113</v>
      </c>
      <c r="G374" s="6" t="n">
        <v>3037.45</v>
      </c>
      <c r="H374" s="6" t="n">
        <f aca="false">F374*G374</f>
        <v>343231.85</v>
      </c>
    </row>
    <row r="375" customFormat="false" ht="15" hidden="false" customHeight="false" outlineLevel="0" collapsed="false">
      <c r="A375" s="3" t="s">
        <v>406</v>
      </c>
      <c r="B375" s="3" t="s">
        <v>384</v>
      </c>
      <c r="C375" s="3" t="n">
        <v>15</v>
      </c>
      <c r="D375" s="4" t="s">
        <v>40</v>
      </c>
      <c r="E375" s="3" t="s">
        <v>16</v>
      </c>
      <c r="F375" s="5" t="n">
        <v>91</v>
      </c>
      <c r="G375" s="6" t="n">
        <v>2935.95</v>
      </c>
      <c r="H375" s="6" t="n">
        <f aca="false">F375*G375</f>
        <v>267171.45</v>
      </c>
    </row>
    <row r="376" customFormat="false" ht="15" hidden="false" customHeight="false" outlineLevel="0" collapsed="false">
      <c r="A376" s="3" t="s">
        <v>407</v>
      </c>
      <c r="B376" s="3" t="s">
        <v>384</v>
      </c>
      <c r="C376" s="3" t="n">
        <v>15</v>
      </c>
      <c r="D376" s="4" t="s">
        <v>40</v>
      </c>
      <c r="E376" s="3" t="s">
        <v>18</v>
      </c>
      <c r="F376" s="5" t="n">
        <v>96</v>
      </c>
      <c r="G376" s="6" t="n">
        <v>2990.78</v>
      </c>
      <c r="H376" s="6" t="n">
        <f aca="false">F376*G376</f>
        <v>287114.88</v>
      </c>
    </row>
    <row r="377" customFormat="false" ht="15" hidden="false" customHeight="false" outlineLevel="0" collapsed="false">
      <c r="A377" s="3" t="s">
        <v>408</v>
      </c>
      <c r="B377" s="3" t="s">
        <v>384</v>
      </c>
      <c r="C377" s="3" t="n">
        <v>15</v>
      </c>
      <c r="D377" s="4" t="s">
        <v>40</v>
      </c>
      <c r="E377" s="3" t="s">
        <v>20</v>
      </c>
      <c r="F377" s="5" t="n">
        <v>72</v>
      </c>
      <c r="G377" s="6" t="n">
        <v>3325.94</v>
      </c>
      <c r="H377" s="6" t="n">
        <f aca="false">F377*G377</f>
        <v>239467.68</v>
      </c>
    </row>
    <row r="378" customFormat="false" ht="15" hidden="false" customHeight="false" outlineLevel="0" collapsed="false">
      <c r="A378" s="3" t="s">
        <v>409</v>
      </c>
      <c r="B378" s="3" t="s">
        <v>410</v>
      </c>
      <c r="C378" s="3" t="n">
        <v>16</v>
      </c>
      <c r="D378" s="4" t="s">
        <v>11</v>
      </c>
      <c r="E378" s="3" t="s">
        <v>12</v>
      </c>
      <c r="F378" s="5" t="n">
        <v>129</v>
      </c>
      <c r="G378" s="6" t="n">
        <v>2685.71</v>
      </c>
      <c r="H378" s="6" t="n">
        <f aca="false">F378*G378</f>
        <v>346456.59</v>
      </c>
    </row>
    <row r="379" customFormat="false" ht="15" hidden="false" customHeight="false" outlineLevel="0" collapsed="false">
      <c r="A379" s="3" t="s">
        <v>411</v>
      </c>
      <c r="B379" s="3" t="s">
        <v>410</v>
      </c>
      <c r="C379" s="3" t="n">
        <v>16</v>
      </c>
      <c r="D379" s="4" t="s">
        <v>11</v>
      </c>
      <c r="E379" s="3" t="s">
        <v>14</v>
      </c>
      <c r="F379" s="5" t="n">
        <v>138</v>
      </c>
      <c r="G379" s="6" t="n">
        <v>2442.65</v>
      </c>
      <c r="H379" s="6" t="n">
        <f aca="false">F379*G379</f>
        <v>337085.7</v>
      </c>
    </row>
    <row r="380" customFormat="false" ht="15" hidden="false" customHeight="false" outlineLevel="0" collapsed="false">
      <c r="A380" s="3" t="s">
        <v>412</v>
      </c>
      <c r="B380" s="3" t="s">
        <v>410</v>
      </c>
      <c r="C380" s="3" t="n">
        <v>16</v>
      </c>
      <c r="D380" s="4" t="s">
        <v>11</v>
      </c>
      <c r="E380" s="3" t="s">
        <v>16</v>
      </c>
      <c r="F380" s="5" t="n">
        <v>112</v>
      </c>
      <c r="G380" s="6" t="n">
        <v>2628.8</v>
      </c>
      <c r="H380" s="6" t="n">
        <f aca="false">F380*G380</f>
        <v>294425.6</v>
      </c>
    </row>
    <row r="381" customFormat="false" ht="15" hidden="false" customHeight="false" outlineLevel="0" collapsed="false">
      <c r="A381" s="3" t="s">
        <v>413</v>
      </c>
      <c r="B381" s="3" t="s">
        <v>410</v>
      </c>
      <c r="C381" s="3" t="n">
        <v>16</v>
      </c>
      <c r="D381" s="4" t="s">
        <v>11</v>
      </c>
      <c r="E381" s="3" t="s">
        <v>18</v>
      </c>
      <c r="F381" s="5" t="n">
        <v>104</v>
      </c>
      <c r="G381" s="6" t="n">
        <v>2319.7</v>
      </c>
      <c r="H381" s="6" t="n">
        <f aca="false">F381*G381</f>
        <v>241248.8</v>
      </c>
    </row>
    <row r="382" customFormat="false" ht="15" hidden="false" customHeight="false" outlineLevel="0" collapsed="false">
      <c r="A382" s="3" t="s">
        <v>414</v>
      </c>
      <c r="B382" s="3" t="s">
        <v>410</v>
      </c>
      <c r="C382" s="3" t="n">
        <v>16</v>
      </c>
      <c r="D382" s="4" t="s">
        <v>11</v>
      </c>
      <c r="E382" s="3" t="s">
        <v>20</v>
      </c>
      <c r="F382" s="5" t="n">
        <v>98</v>
      </c>
      <c r="G382" s="6" t="n">
        <v>2449.09</v>
      </c>
      <c r="H382" s="6" t="n">
        <f aca="false">F382*G382</f>
        <v>240010.82</v>
      </c>
    </row>
    <row r="383" customFormat="false" ht="15" hidden="false" customHeight="false" outlineLevel="0" collapsed="false">
      <c r="A383" s="3" t="s">
        <v>415</v>
      </c>
      <c r="B383" s="3" t="s">
        <v>410</v>
      </c>
      <c r="C383" s="3" t="n">
        <v>16</v>
      </c>
      <c r="D383" s="4" t="s">
        <v>22</v>
      </c>
      <c r="E383" s="3" t="s">
        <v>12</v>
      </c>
      <c r="F383" s="5" t="n">
        <v>136</v>
      </c>
      <c r="G383" s="6" t="n">
        <v>3993.71</v>
      </c>
      <c r="H383" s="6" t="n">
        <f aca="false">F383*G383</f>
        <v>543144.56</v>
      </c>
    </row>
    <row r="384" customFormat="false" ht="15" hidden="false" customHeight="false" outlineLevel="0" collapsed="false">
      <c r="A384" s="3" t="s">
        <v>416</v>
      </c>
      <c r="B384" s="3" t="s">
        <v>410</v>
      </c>
      <c r="C384" s="3" t="n">
        <v>16</v>
      </c>
      <c r="D384" s="4" t="s">
        <v>22</v>
      </c>
      <c r="E384" s="3" t="s">
        <v>14</v>
      </c>
      <c r="F384" s="5" t="n">
        <v>104</v>
      </c>
      <c r="G384" s="6" t="n">
        <v>4466.78</v>
      </c>
      <c r="H384" s="6" t="n">
        <f aca="false">F384*G384</f>
        <v>464545.12</v>
      </c>
    </row>
    <row r="385" customFormat="false" ht="15" hidden="false" customHeight="false" outlineLevel="0" collapsed="false">
      <c r="A385" s="3" t="s">
        <v>417</v>
      </c>
      <c r="B385" s="3" t="s">
        <v>410</v>
      </c>
      <c r="C385" s="3" t="n">
        <v>16</v>
      </c>
      <c r="D385" s="4" t="s">
        <v>22</v>
      </c>
      <c r="E385" s="3" t="s">
        <v>16</v>
      </c>
      <c r="F385" s="5" t="n">
        <v>127</v>
      </c>
      <c r="G385" s="6" t="n">
        <v>4140.06</v>
      </c>
      <c r="H385" s="6" t="n">
        <f aca="false">F385*G385</f>
        <v>525787.62</v>
      </c>
    </row>
    <row r="386" customFormat="false" ht="15" hidden="false" customHeight="false" outlineLevel="0" collapsed="false">
      <c r="A386" s="3" t="s">
        <v>418</v>
      </c>
      <c r="B386" s="3" t="s">
        <v>410</v>
      </c>
      <c r="C386" s="3" t="n">
        <v>16</v>
      </c>
      <c r="D386" s="4" t="s">
        <v>22</v>
      </c>
      <c r="E386" s="3" t="s">
        <v>18</v>
      </c>
      <c r="F386" s="5" t="n">
        <v>88</v>
      </c>
      <c r="G386" s="6" t="n">
        <v>4379.2</v>
      </c>
      <c r="H386" s="6" t="n">
        <f aca="false">F386*G386</f>
        <v>385369.6</v>
      </c>
    </row>
    <row r="387" customFormat="false" ht="15" hidden="false" customHeight="false" outlineLevel="0" collapsed="false">
      <c r="A387" s="3" t="s">
        <v>419</v>
      </c>
      <c r="B387" s="3" t="s">
        <v>410</v>
      </c>
      <c r="C387" s="3" t="n">
        <v>16</v>
      </c>
      <c r="D387" s="4" t="s">
        <v>22</v>
      </c>
      <c r="E387" s="3" t="s">
        <v>20</v>
      </c>
      <c r="F387" s="5" t="n">
        <v>73</v>
      </c>
      <c r="G387" s="6" t="n">
        <v>3887.42</v>
      </c>
      <c r="H387" s="6" t="n">
        <f aca="false">F387*G387</f>
        <v>283781.66</v>
      </c>
    </row>
    <row r="388" customFormat="false" ht="15" hidden="false" customHeight="false" outlineLevel="0" collapsed="false">
      <c r="A388" s="3" t="s">
        <v>420</v>
      </c>
      <c r="B388" s="3" t="s">
        <v>410</v>
      </c>
      <c r="C388" s="3" t="n">
        <v>16</v>
      </c>
      <c r="D388" s="4" t="s">
        <v>28</v>
      </c>
      <c r="E388" s="3" t="s">
        <v>12</v>
      </c>
      <c r="F388" s="5" t="n">
        <v>131</v>
      </c>
      <c r="G388" s="6" t="n">
        <v>1920.98</v>
      </c>
      <c r="H388" s="6" t="n">
        <f aca="false">F388*G388</f>
        <v>251648.38</v>
      </c>
    </row>
    <row r="389" customFormat="false" ht="15" hidden="false" customHeight="false" outlineLevel="0" collapsed="false">
      <c r="A389" s="3" t="s">
        <v>421</v>
      </c>
      <c r="B389" s="3" t="s">
        <v>410</v>
      </c>
      <c r="C389" s="3" t="n">
        <v>16</v>
      </c>
      <c r="D389" s="4" t="s">
        <v>28</v>
      </c>
      <c r="E389" s="3" t="s">
        <v>14</v>
      </c>
      <c r="F389" s="5" t="n">
        <v>141</v>
      </c>
      <c r="G389" s="6" t="n">
        <v>1871.22</v>
      </c>
      <c r="H389" s="6" t="n">
        <f aca="false">F389*G389</f>
        <v>263842.02</v>
      </c>
    </row>
    <row r="390" customFormat="false" ht="15" hidden="false" customHeight="false" outlineLevel="0" collapsed="false">
      <c r="A390" s="3" t="s">
        <v>422</v>
      </c>
      <c r="B390" s="3" t="s">
        <v>410</v>
      </c>
      <c r="C390" s="3" t="n">
        <v>16</v>
      </c>
      <c r="D390" s="4" t="s">
        <v>28</v>
      </c>
      <c r="E390" s="3" t="s">
        <v>16</v>
      </c>
      <c r="F390" s="5" t="n">
        <v>105</v>
      </c>
      <c r="G390" s="6" t="n">
        <v>1753.65</v>
      </c>
      <c r="H390" s="6" t="n">
        <f aca="false">F390*G390</f>
        <v>184133.25</v>
      </c>
    </row>
    <row r="391" customFormat="false" ht="15" hidden="false" customHeight="false" outlineLevel="0" collapsed="false">
      <c r="A391" s="3" t="s">
        <v>423</v>
      </c>
      <c r="B391" s="3" t="s">
        <v>410</v>
      </c>
      <c r="C391" s="3" t="n">
        <v>16</v>
      </c>
      <c r="D391" s="4" t="s">
        <v>28</v>
      </c>
      <c r="E391" s="3" t="s">
        <v>18</v>
      </c>
      <c r="F391" s="5" t="n">
        <v>109</v>
      </c>
      <c r="G391" s="6" t="n">
        <v>1931.81</v>
      </c>
      <c r="H391" s="6" t="n">
        <f aca="false">F391*G391</f>
        <v>210567.29</v>
      </c>
    </row>
    <row r="392" customFormat="false" ht="15" hidden="false" customHeight="false" outlineLevel="0" collapsed="false">
      <c r="A392" s="3" t="s">
        <v>424</v>
      </c>
      <c r="B392" s="3" t="s">
        <v>410</v>
      </c>
      <c r="C392" s="3" t="n">
        <v>16</v>
      </c>
      <c r="D392" s="4" t="s">
        <v>28</v>
      </c>
      <c r="E392" s="3" t="s">
        <v>20</v>
      </c>
      <c r="F392" s="5" t="n">
        <v>92</v>
      </c>
      <c r="G392" s="6" t="n">
        <v>1731.51</v>
      </c>
      <c r="H392" s="6" t="n">
        <f aca="false">F392*G392</f>
        <v>159298.92</v>
      </c>
    </row>
    <row r="393" customFormat="false" ht="15" hidden="false" customHeight="false" outlineLevel="0" collapsed="false">
      <c r="A393" s="3" t="s">
        <v>425</v>
      </c>
      <c r="B393" s="3" t="s">
        <v>410</v>
      </c>
      <c r="C393" s="3" t="n">
        <v>16</v>
      </c>
      <c r="D393" s="4" t="s">
        <v>34</v>
      </c>
      <c r="E393" s="3" t="s">
        <v>12</v>
      </c>
      <c r="F393" s="5" t="n">
        <v>132</v>
      </c>
      <c r="G393" s="6" t="n">
        <v>6309.14</v>
      </c>
      <c r="H393" s="6" t="n">
        <f aca="false">F393*G393</f>
        <v>832806.48</v>
      </c>
    </row>
    <row r="394" customFormat="false" ht="15" hidden="false" customHeight="false" outlineLevel="0" collapsed="false">
      <c r="A394" s="3" t="s">
        <v>426</v>
      </c>
      <c r="B394" s="3" t="s">
        <v>410</v>
      </c>
      <c r="C394" s="3" t="n">
        <v>16</v>
      </c>
      <c r="D394" s="4" t="s">
        <v>34</v>
      </c>
      <c r="E394" s="3" t="s">
        <v>14</v>
      </c>
      <c r="F394" s="5" t="n">
        <v>135</v>
      </c>
      <c r="G394" s="6" t="n">
        <v>5983.92</v>
      </c>
      <c r="H394" s="6" t="n">
        <f aca="false">F394*G394</f>
        <v>807829.2</v>
      </c>
    </row>
    <row r="395" customFormat="false" ht="15" hidden="false" customHeight="false" outlineLevel="0" collapsed="false">
      <c r="A395" s="3" t="s">
        <v>427</v>
      </c>
      <c r="B395" s="3" t="s">
        <v>410</v>
      </c>
      <c r="C395" s="3" t="n">
        <v>16</v>
      </c>
      <c r="D395" s="4" t="s">
        <v>34</v>
      </c>
      <c r="E395" s="3" t="s">
        <v>16</v>
      </c>
      <c r="F395" s="5" t="n">
        <v>120</v>
      </c>
      <c r="G395" s="6" t="n">
        <v>6933.12</v>
      </c>
      <c r="H395" s="6" t="n">
        <f aca="false">F395*G395</f>
        <v>831974.4</v>
      </c>
    </row>
    <row r="396" customFormat="false" ht="15" hidden="false" customHeight="false" outlineLevel="0" collapsed="false">
      <c r="A396" s="3" t="s">
        <v>428</v>
      </c>
      <c r="B396" s="3" t="s">
        <v>410</v>
      </c>
      <c r="C396" s="3" t="n">
        <v>16</v>
      </c>
      <c r="D396" s="4" t="s">
        <v>34</v>
      </c>
      <c r="E396" s="3" t="s">
        <v>18</v>
      </c>
      <c r="F396" s="5" t="n">
        <v>88</v>
      </c>
      <c r="G396" s="6" t="n">
        <v>6960.98</v>
      </c>
      <c r="H396" s="6" t="n">
        <f aca="false">F396*G396</f>
        <v>612566.24</v>
      </c>
    </row>
    <row r="397" customFormat="false" ht="15" hidden="false" customHeight="false" outlineLevel="0" collapsed="false">
      <c r="A397" s="3" t="s">
        <v>429</v>
      </c>
      <c r="B397" s="3" t="s">
        <v>410</v>
      </c>
      <c r="C397" s="3" t="n">
        <v>16</v>
      </c>
      <c r="D397" s="4" t="s">
        <v>34</v>
      </c>
      <c r="E397" s="3" t="s">
        <v>20</v>
      </c>
      <c r="F397" s="5" t="n">
        <v>85</v>
      </c>
      <c r="G397" s="6" t="n">
        <v>6223.22</v>
      </c>
      <c r="H397" s="6" t="n">
        <f aca="false">F397*G397</f>
        <v>528973.7</v>
      </c>
    </row>
    <row r="398" customFormat="false" ht="15" hidden="false" customHeight="false" outlineLevel="0" collapsed="false">
      <c r="A398" s="3" t="s">
        <v>430</v>
      </c>
      <c r="B398" s="3" t="s">
        <v>410</v>
      </c>
      <c r="C398" s="3" t="n">
        <v>16</v>
      </c>
      <c r="D398" s="4" t="s">
        <v>40</v>
      </c>
      <c r="E398" s="3" t="s">
        <v>12</v>
      </c>
      <c r="F398" s="5" t="n">
        <v>165</v>
      </c>
      <c r="G398" s="6" t="n">
        <v>3326.56</v>
      </c>
      <c r="H398" s="6" t="n">
        <f aca="false">F398*G398</f>
        <v>548882.4</v>
      </c>
    </row>
    <row r="399" customFormat="false" ht="15" hidden="false" customHeight="false" outlineLevel="0" collapsed="false">
      <c r="A399" s="3" t="s">
        <v>431</v>
      </c>
      <c r="B399" s="3" t="s">
        <v>410</v>
      </c>
      <c r="C399" s="3" t="n">
        <v>16</v>
      </c>
      <c r="D399" s="4" t="s">
        <v>40</v>
      </c>
      <c r="E399" s="3" t="s">
        <v>14</v>
      </c>
      <c r="F399" s="5" t="n">
        <v>113</v>
      </c>
      <c r="G399" s="6" t="n">
        <v>3043.71</v>
      </c>
      <c r="H399" s="6" t="n">
        <f aca="false">F399*G399</f>
        <v>343939.23</v>
      </c>
    </row>
    <row r="400" customFormat="false" ht="15" hidden="false" customHeight="false" outlineLevel="0" collapsed="false">
      <c r="A400" s="3" t="s">
        <v>432</v>
      </c>
      <c r="B400" s="3" t="s">
        <v>410</v>
      </c>
      <c r="C400" s="3" t="n">
        <v>16</v>
      </c>
      <c r="D400" s="4" t="s">
        <v>40</v>
      </c>
      <c r="E400" s="3" t="s">
        <v>16</v>
      </c>
      <c r="F400" s="5" t="n">
        <v>114</v>
      </c>
      <c r="G400" s="6" t="n">
        <v>3065.25</v>
      </c>
      <c r="H400" s="6" t="n">
        <f aca="false">F400*G400</f>
        <v>349438.5</v>
      </c>
    </row>
    <row r="401" customFormat="false" ht="15" hidden="false" customHeight="false" outlineLevel="0" collapsed="false">
      <c r="A401" s="3" t="s">
        <v>433</v>
      </c>
      <c r="B401" s="3" t="s">
        <v>410</v>
      </c>
      <c r="C401" s="3" t="n">
        <v>16</v>
      </c>
      <c r="D401" s="4" t="s">
        <v>40</v>
      </c>
      <c r="E401" s="3" t="s">
        <v>18</v>
      </c>
      <c r="F401" s="5" t="n">
        <v>93</v>
      </c>
      <c r="G401" s="6" t="n">
        <v>3312.34</v>
      </c>
      <c r="H401" s="6" t="n">
        <f aca="false">F401*G401</f>
        <v>308047.62</v>
      </c>
    </row>
    <row r="402" customFormat="false" ht="15" hidden="false" customHeight="false" outlineLevel="0" collapsed="false">
      <c r="A402" s="3" t="s">
        <v>434</v>
      </c>
      <c r="B402" s="3" t="s">
        <v>410</v>
      </c>
      <c r="C402" s="3" t="n">
        <v>16</v>
      </c>
      <c r="D402" s="4" t="s">
        <v>40</v>
      </c>
      <c r="E402" s="3" t="s">
        <v>20</v>
      </c>
      <c r="F402" s="5" t="n">
        <v>93</v>
      </c>
      <c r="G402" s="6" t="n">
        <v>3250.07</v>
      </c>
      <c r="H402" s="6" t="n">
        <f aca="false">F402*G402</f>
        <v>302256.51</v>
      </c>
    </row>
    <row r="403" customFormat="false" ht="15" hidden="false" customHeight="false" outlineLevel="0" collapsed="false">
      <c r="A403" s="3" t="s">
        <v>435</v>
      </c>
      <c r="B403" s="3" t="s">
        <v>436</v>
      </c>
      <c r="C403" s="3" t="n">
        <v>17</v>
      </c>
      <c r="D403" s="4" t="s">
        <v>11</v>
      </c>
      <c r="E403" s="3" t="s">
        <v>12</v>
      </c>
      <c r="F403" s="5" t="n">
        <v>162</v>
      </c>
      <c r="G403" s="6" t="n">
        <v>2629.1</v>
      </c>
      <c r="H403" s="6" t="n">
        <f aca="false">F403*G403</f>
        <v>425914.2</v>
      </c>
    </row>
    <row r="404" customFormat="false" ht="15" hidden="false" customHeight="false" outlineLevel="0" collapsed="false">
      <c r="A404" s="3" t="s">
        <v>437</v>
      </c>
      <c r="B404" s="3" t="s">
        <v>436</v>
      </c>
      <c r="C404" s="3" t="n">
        <v>17</v>
      </c>
      <c r="D404" s="4" t="s">
        <v>11</v>
      </c>
      <c r="E404" s="3" t="s">
        <v>14</v>
      </c>
      <c r="F404" s="5" t="n">
        <v>121</v>
      </c>
      <c r="G404" s="6" t="n">
        <v>2542.9</v>
      </c>
      <c r="H404" s="6" t="n">
        <f aca="false">F404*G404</f>
        <v>307690.9</v>
      </c>
    </row>
    <row r="405" customFormat="false" ht="15" hidden="false" customHeight="false" outlineLevel="0" collapsed="false">
      <c r="A405" s="3" t="s">
        <v>438</v>
      </c>
      <c r="B405" s="3" t="s">
        <v>436</v>
      </c>
      <c r="C405" s="3" t="n">
        <v>17</v>
      </c>
      <c r="D405" s="4" t="s">
        <v>11</v>
      </c>
      <c r="E405" s="3" t="s">
        <v>16</v>
      </c>
      <c r="F405" s="5" t="n">
        <v>113</v>
      </c>
      <c r="G405" s="6" t="n">
        <v>2427.82</v>
      </c>
      <c r="H405" s="6" t="n">
        <f aca="false">F405*G405</f>
        <v>274343.66</v>
      </c>
    </row>
    <row r="406" customFormat="false" ht="15" hidden="false" customHeight="false" outlineLevel="0" collapsed="false">
      <c r="A406" s="3" t="s">
        <v>439</v>
      </c>
      <c r="B406" s="3" t="s">
        <v>436</v>
      </c>
      <c r="C406" s="3" t="n">
        <v>17</v>
      </c>
      <c r="D406" s="4" t="s">
        <v>11</v>
      </c>
      <c r="E406" s="3" t="s">
        <v>18</v>
      </c>
      <c r="F406" s="5" t="n">
        <v>93</v>
      </c>
      <c r="G406" s="6" t="n">
        <v>2612.9</v>
      </c>
      <c r="H406" s="6" t="n">
        <f aca="false">F406*G406</f>
        <v>242999.7</v>
      </c>
    </row>
    <row r="407" customFormat="false" ht="15" hidden="false" customHeight="false" outlineLevel="0" collapsed="false">
      <c r="A407" s="3" t="s">
        <v>440</v>
      </c>
      <c r="B407" s="3" t="s">
        <v>436</v>
      </c>
      <c r="C407" s="3" t="n">
        <v>17</v>
      </c>
      <c r="D407" s="4" t="s">
        <v>11</v>
      </c>
      <c r="E407" s="3" t="s">
        <v>20</v>
      </c>
      <c r="F407" s="5" t="n">
        <v>96</v>
      </c>
      <c r="G407" s="6" t="n">
        <v>2378.92</v>
      </c>
      <c r="H407" s="6" t="n">
        <f aca="false">F407*G407</f>
        <v>228376.32</v>
      </c>
    </row>
    <row r="408" customFormat="false" ht="15" hidden="false" customHeight="false" outlineLevel="0" collapsed="false">
      <c r="A408" s="3" t="s">
        <v>441</v>
      </c>
      <c r="B408" s="3" t="s">
        <v>436</v>
      </c>
      <c r="C408" s="3" t="n">
        <v>17</v>
      </c>
      <c r="D408" s="4" t="s">
        <v>22</v>
      </c>
      <c r="E408" s="3" t="s">
        <v>12</v>
      </c>
      <c r="F408" s="5" t="n">
        <v>126</v>
      </c>
      <c r="G408" s="6" t="n">
        <v>4030.19</v>
      </c>
      <c r="H408" s="6" t="n">
        <f aca="false">F408*G408</f>
        <v>507803.94</v>
      </c>
    </row>
    <row r="409" customFormat="false" ht="15" hidden="false" customHeight="false" outlineLevel="0" collapsed="false">
      <c r="A409" s="3" t="s">
        <v>442</v>
      </c>
      <c r="B409" s="3" t="s">
        <v>436</v>
      </c>
      <c r="C409" s="3" t="n">
        <v>17</v>
      </c>
      <c r="D409" s="4" t="s">
        <v>22</v>
      </c>
      <c r="E409" s="3" t="s">
        <v>14</v>
      </c>
      <c r="F409" s="5" t="n">
        <v>131</v>
      </c>
      <c r="G409" s="6" t="n">
        <v>3886.76</v>
      </c>
      <c r="H409" s="6" t="n">
        <f aca="false">F409*G409</f>
        <v>509165.56</v>
      </c>
    </row>
    <row r="410" customFormat="false" ht="15" hidden="false" customHeight="false" outlineLevel="0" collapsed="false">
      <c r="A410" s="3" t="s">
        <v>443</v>
      </c>
      <c r="B410" s="3" t="s">
        <v>436</v>
      </c>
      <c r="C410" s="3" t="n">
        <v>17</v>
      </c>
      <c r="D410" s="4" t="s">
        <v>22</v>
      </c>
      <c r="E410" s="3" t="s">
        <v>16</v>
      </c>
      <c r="F410" s="5" t="n">
        <v>138</v>
      </c>
      <c r="G410" s="6" t="n">
        <v>4082.91</v>
      </c>
      <c r="H410" s="6" t="n">
        <f aca="false">F410*G410</f>
        <v>563441.58</v>
      </c>
    </row>
    <row r="411" customFormat="false" ht="15" hidden="false" customHeight="false" outlineLevel="0" collapsed="false">
      <c r="A411" s="3" t="s">
        <v>444</v>
      </c>
      <c r="B411" s="3" t="s">
        <v>436</v>
      </c>
      <c r="C411" s="3" t="n">
        <v>17</v>
      </c>
      <c r="D411" s="4" t="s">
        <v>22</v>
      </c>
      <c r="E411" s="3" t="s">
        <v>18</v>
      </c>
      <c r="F411" s="5" t="n">
        <v>127</v>
      </c>
      <c r="G411" s="6" t="n">
        <v>4457.69</v>
      </c>
      <c r="H411" s="6" t="n">
        <f aca="false">F411*G411</f>
        <v>566126.63</v>
      </c>
    </row>
    <row r="412" customFormat="false" ht="15" hidden="false" customHeight="false" outlineLevel="0" collapsed="false">
      <c r="A412" s="3" t="s">
        <v>445</v>
      </c>
      <c r="B412" s="3" t="s">
        <v>436</v>
      </c>
      <c r="C412" s="3" t="n">
        <v>17</v>
      </c>
      <c r="D412" s="4" t="s">
        <v>22</v>
      </c>
      <c r="E412" s="3" t="s">
        <v>20</v>
      </c>
      <c r="F412" s="5" t="n">
        <v>76</v>
      </c>
      <c r="G412" s="6" t="n">
        <v>4042.01</v>
      </c>
      <c r="H412" s="6" t="n">
        <f aca="false">F412*G412</f>
        <v>307192.76</v>
      </c>
    </row>
    <row r="413" customFormat="false" ht="15" hidden="false" customHeight="false" outlineLevel="0" collapsed="false">
      <c r="A413" s="3" t="s">
        <v>446</v>
      </c>
      <c r="B413" s="3" t="s">
        <v>436</v>
      </c>
      <c r="C413" s="3" t="n">
        <v>17</v>
      </c>
      <c r="D413" s="4" t="s">
        <v>28</v>
      </c>
      <c r="E413" s="3" t="s">
        <v>12</v>
      </c>
      <c r="F413" s="5" t="n">
        <v>148</v>
      </c>
      <c r="G413" s="6" t="n">
        <v>1683.77</v>
      </c>
      <c r="H413" s="6" t="n">
        <f aca="false">F413*G413</f>
        <v>249197.96</v>
      </c>
    </row>
    <row r="414" customFormat="false" ht="15" hidden="false" customHeight="false" outlineLevel="0" collapsed="false">
      <c r="A414" s="3" t="s">
        <v>447</v>
      </c>
      <c r="B414" s="3" t="s">
        <v>436</v>
      </c>
      <c r="C414" s="3" t="n">
        <v>17</v>
      </c>
      <c r="D414" s="4" t="s">
        <v>28</v>
      </c>
      <c r="E414" s="3" t="s">
        <v>14</v>
      </c>
      <c r="F414" s="5" t="n">
        <v>126</v>
      </c>
      <c r="G414" s="6" t="n">
        <v>1860.41</v>
      </c>
      <c r="H414" s="6" t="n">
        <f aca="false">F414*G414</f>
        <v>234411.66</v>
      </c>
    </row>
    <row r="415" customFormat="false" ht="15" hidden="false" customHeight="false" outlineLevel="0" collapsed="false">
      <c r="A415" s="3" t="s">
        <v>448</v>
      </c>
      <c r="B415" s="3" t="s">
        <v>436</v>
      </c>
      <c r="C415" s="3" t="n">
        <v>17</v>
      </c>
      <c r="D415" s="4" t="s">
        <v>28</v>
      </c>
      <c r="E415" s="3" t="s">
        <v>16</v>
      </c>
      <c r="F415" s="5" t="n">
        <v>115</v>
      </c>
      <c r="G415" s="6" t="n">
        <v>1723.45</v>
      </c>
      <c r="H415" s="6" t="n">
        <f aca="false">F415*G415</f>
        <v>198196.75</v>
      </c>
    </row>
    <row r="416" customFormat="false" ht="15" hidden="false" customHeight="false" outlineLevel="0" collapsed="false">
      <c r="A416" s="3" t="s">
        <v>449</v>
      </c>
      <c r="B416" s="3" t="s">
        <v>436</v>
      </c>
      <c r="C416" s="3" t="n">
        <v>17</v>
      </c>
      <c r="D416" s="4" t="s">
        <v>28</v>
      </c>
      <c r="E416" s="3" t="s">
        <v>18</v>
      </c>
      <c r="F416" s="5" t="n">
        <v>115</v>
      </c>
      <c r="G416" s="6" t="n">
        <v>1834.65</v>
      </c>
      <c r="H416" s="6" t="n">
        <f aca="false">F416*G416</f>
        <v>210984.75</v>
      </c>
    </row>
    <row r="417" customFormat="false" ht="15" hidden="false" customHeight="false" outlineLevel="0" collapsed="false">
      <c r="A417" s="3" t="s">
        <v>450</v>
      </c>
      <c r="B417" s="3" t="s">
        <v>436</v>
      </c>
      <c r="C417" s="3" t="n">
        <v>17</v>
      </c>
      <c r="D417" s="4" t="s">
        <v>28</v>
      </c>
      <c r="E417" s="3" t="s">
        <v>20</v>
      </c>
      <c r="F417" s="5" t="n">
        <v>99</v>
      </c>
      <c r="G417" s="6" t="n">
        <v>1871.42</v>
      </c>
      <c r="H417" s="6" t="n">
        <f aca="false">F417*G417</f>
        <v>185270.58</v>
      </c>
    </row>
    <row r="418" customFormat="false" ht="15" hidden="false" customHeight="false" outlineLevel="0" collapsed="false">
      <c r="A418" s="3" t="s">
        <v>451</v>
      </c>
      <c r="B418" s="3" t="s">
        <v>436</v>
      </c>
      <c r="C418" s="3" t="n">
        <v>17</v>
      </c>
      <c r="D418" s="4" t="s">
        <v>34</v>
      </c>
      <c r="E418" s="3" t="s">
        <v>12</v>
      </c>
      <c r="F418" s="5" t="n">
        <v>129</v>
      </c>
      <c r="G418" s="6" t="n">
        <v>6671</v>
      </c>
      <c r="H418" s="6" t="n">
        <f aca="false">F418*G418</f>
        <v>860559</v>
      </c>
    </row>
    <row r="419" customFormat="false" ht="15" hidden="false" customHeight="false" outlineLevel="0" collapsed="false">
      <c r="A419" s="3" t="s">
        <v>452</v>
      </c>
      <c r="B419" s="3" t="s">
        <v>436</v>
      </c>
      <c r="C419" s="3" t="n">
        <v>17</v>
      </c>
      <c r="D419" s="4" t="s">
        <v>34</v>
      </c>
      <c r="E419" s="3" t="s">
        <v>14</v>
      </c>
      <c r="F419" s="5" t="n">
        <v>119</v>
      </c>
      <c r="G419" s="6" t="n">
        <v>6854.51</v>
      </c>
      <c r="H419" s="6" t="n">
        <f aca="false">F419*G419</f>
        <v>815686.69</v>
      </c>
    </row>
    <row r="420" customFormat="false" ht="15" hidden="false" customHeight="false" outlineLevel="0" collapsed="false">
      <c r="A420" s="3" t="s">
        <v>453</v>
      </c>
      <c r="B420" s="3" t="s">
        <v>436</v>
      </c>
      <c r="C420" s="3" t="n">
        <v>17</v>
      </c>
      <c r="D420" s="4" t="s">
        <v>34</v>
      </c>
      <c r="E420" s="3" t="s">
        <v>16</v>
      </c>
      <c r="F420" s="5" t="n">
        <v>113</v>
      </c>
      <c r="G420" s="6" t="n">
        <v>6569.56</v>
      </c>
      <c r="H420" s="6" t="n">
        <f aca="false">F420*G420</f>
        <v>742360.28</v>
      </c>
    </row>
    <row r="421" customFormat="false" ht="15" hidden="false" customHeight="false" outlineLevel="0" collapsed="false">
      <c r="A421" s="3" t="s">
        <v>454</v>
      </c>
      <c r="B421" s="3" t="s">
        <v>436</v>
      </c>
      <c r="C421" s="3" t="n">
        <v>17</v>
      </c>
      <c r="D421" s="4" t="s">
        <v>34</v>
      </c>
      <c r="E421" s="3" t="s">
        <v>18</v>
      </c>
      <c r="F421" s="5" t="n">
        <v>97</v>
      </c>
      <c r="G421" s="6" t="n">
        <v>6747.59</v>
      </c>
      <c r="H421" s="6" t="n">
        <f aca="false">F421*G421</f>
        <v>654516.23</v>
      </c>
    </row>
    <row r="422" customFormat="false" ht="15" hidden="false" customHeight="false" outlineLevel="0" collapsed="false">
      <c r="A422" s="3" t="s">
        <v>455</v>
      </c>
      <c r="B422" s="3" t="s">
        <v>436</v>
      </c>
      <c r="C422" s="3" t="n">
        <v>17</v>
      </c>
      <c r="D422" s="4" t="s">
        <v>34</v>
      </c>
      <c r="E422" s="3" t="s">
        <v>20</v>
      </c>
      <c r="F422" s="5" t="n">
        <v>81</v>
      </c>
      <c r="G422" s="6" t="n">
        <v>6237.33</v>
      </c>
      <c r="H422" s="6" t="n">
        <f aca="false">F422*G422</f>
        <v>505223.73</v>
      </c>
    </row>
    <row r="423" customFormat="false" ht="15" hidden="false" customHeight="false" outlineLevel="0" collapsed="false">
      <c r="A423" s="3" t="s">
        <v>456</v>
      </c>
      <c r="B423" s="3" t="s">
        <v>436</v>
      </c>
      <c r="C423" s="3" t="n">
        <v>17</v>
      </c>
      <c r="D423" s="4" t="s">
        <v>40</v>
      </c>
      <c r="E423" s="3" t="s">
        <v>12</v>
      </c>
      <c r="F423" s="5" t="n">
        <v>168</v>
      </c>
      <c r="G423" s="6" t="n">
        <v>2928.05</v>
      </c>
      <c r="H423" s="6" t="n">
        <f aca="false">F423*G423</f>
        <v>491912.4</v>
      </c>
    </row>
    <row r="424" customFormat="false" ht="15" hidden="false" customHeight="false" outlineLevel="0" collapsed="false">
      <c r="A424" s="3" t="s">
        <v>457</v>
      </c>
      <c r="B424" s="3" t="s">
        <v>436</v>
      </c>
      <c r="C424" s="3" t="n">
        <v>17</v>
      </c>
      <c r="D424" s="4" t="s">
        <v>40</v>
      </c>
      <c r="E424" s="3" t="s">
        <v>14</v>
      </c>
      <c r="F424" s="5" t="n">
        <v>121</v>
      </c>
      <c r="G424" s="6" t="n">
        <v>3138.83</v>
      </c>
      <c r="H424" s="6" t="n">
        <f aca="false">F424*G424</f>
        <v>379798.43</v>
      </c>
    </row>
    <row r="425" customFormat="false" ht="15" hidden="false" customHeight="false" outlineLevel="0" collapsed="false">
      <c r="A425" s="3" t="s">
        <v>458</v>
      </c>
      <c r="B425" s="3" t="s">
        <v>436</v>
      </c>
      <c r="C425" s="3" t="n">
        <v>17</v>
      </c>
      <c r="D425" s="4" t="s">
        <v>40</v>
      </c>
      <c r="E425" s="3" t="s">
        <v>16</v>
      </c>
      <c r="F425" s="5" t="n">
        <v>138</v>
      </c>
      <c r="G425" s="6" t="n">
        <v>3048.45</v>
      </c>
      <c r="H425" s="6" t="n">
        <f aca="false">F425*G425</f>
        <v>420686.1</v>
      </c>
    </row>
    <row r="426" customFormat="false" ht="15" hidden="false" customHeight="false" outlineLevel="0" collapsed="false">
      <c r="A426" s="3" t="s">
        <v>459</v>
      </c>
      <c r="B426" s="3" t="s">
        <v>436</v>
      </c>
      <c r="C426" s="3" t="n">
        <v>17</v>
      </c>
      <c r="D426" s="4" t="s">
        <v>40</v>
      </c>
      <c r="E426" s="3" t="s">
        <v>18</v>
      </c>
      <c r="F426" s="5" t="n">
        <v>98</v>
      </c>
      <c r="G426" s="6" t="n">
        <v>3103.63</v>
      </c>
      <c r="H426" s="6" t="n">
        <f aca="false">F426*G426</f>
        <v>304155.74</v>
      </c>
    </row>
    <row r="427" customFormat="false" ht="15" hidden="false" customHeight="false" outlineLevel="0" collapsed="false">
      <c r="A427" s="3" t="s">
        <v>460</v>
      </c>
      <c r="B427" s="3" t="s">
        <v>436</v>
      </c>
      <c r="C427" s="3" t="n">
        <v>17</v>
      </c>
      <c r="D427" s="4" t="s">
        <v>40</v>
      </c>
      <c r="E427" s="3" t="s">
        <v>20</v>
      </c>
      <c r="F427" s="5" t="n">
        <v>93</v>
      </c>
      <c r="G427" s="6" t="n">
        <v>3252.99</v>
      </c>
      <c r="H427" s="6" t="n">
        <f aca="false">F427*G427</f>
        <v>302528.07</v>
      </c>
    </row>
    <row r="428" customFormat="false" ht="15" hidden="false" customHeight="false" outlineLevel="0" collapsed="false">
      <c r="A428" s="3" t="s">
        <v>461</v>
      </c>
      <c r="B428" s="3" t="s">
        <v>462</v>
      </c>
      <c r="C428" s="3" t="n">
        <v>18</v>
      </c>
      <c r="D428" s="4" t="s">
        <v>11</v>
      </c>
      <c r="E428" s="3" t="s">
        <v>12</v>
      </c>
      <c r="F428" s="5" t="n">
        <v>132</v>
      </c>
      <c r="G428" s="6" t="n">
        <v>2696.38</v>
      </c>
      <c r="H428" s="6" t="n">
        <f aca="false">F428*G428</f>
        <v>355922.16</v>
      </c>
    </row>
    <row r="429" customFormat="false" ht="15" hidden="false" customHeight="false" outlineLevel="0" collapsed="false">
      <c r="A429" s="3" t="s">
        <v>463</v>
      </c>
      <c r="B429" s="3" t="s">
        <v>462</v>
      </c>
      <c r="C429" s="3" t="n">
        <v>18</v>
      </c>
      <c r="D429" s="4" t="s">
        <v>11</v>
      </c>
      <c r="E429" s="3" t="s">
        <v>14</v>
      </c>
      <c r="F429" s="5" t="n">
        <v>147</v>
      </c>
      <c r="G429" s="6" t="n">
        <v>2489.91</v>
      </c>
      <c r="H429" s="6" t="n">
        <f aca="false">F429*G429</f>
        <v>366016.77</v>
      </c>
    </row>
    <row r="430" customFormat="false" ht="15" hidden="false" customHeight="false" outlineLevel="0" collapsed="false">
      <c r="A430" s="3" t="s">
        <v>464</v>
      </c>
      <c r="B430" s="3" t="s">
        <v>462</v>
      </c>
      <c r="C430" s="3" t="n">
        <v>18</v>
      </c>
      <c r="D430" s="4" t="s">
        <v>11</v>
      </c>
      <c r="E430" s="3" t="s">
        <v>16</v>
      </c>
      <c r="F430" s="5" t="n">
        <v>140</v>
      </c>
      <c r="G430" s="6" t="n">
        <v>2636.22</v>
      </c>
      <c r="H430" s="6" t="n">
        <f aca="false">F430*G430</f>
        <v>369070.8</v>
      </c>
    </row>
    <row r="431" customFormat="false" ht="15" hidden="false" customHeight="false" outlineLevel="0" collapsed="false">
      <c r="A431" s="3" t="s">
        <v>465</v>
      </c>
      <c r="B431" s="3" t="s">
        <v>462</v>
      </c>
      <c r="C431" s="3" t="n">
        <v>18</v>
      </c>
      <c r="D431" s="4" t="s">
        <v>11</v>
      </c>
      <c r="E431" s="3" t="s">
        <v>18</v>
      </c>
      <c r="F431" s="5" t="n">
        <v>104</v>
      </c>
      <c r="G431" s="6" t="n">
        <v>2316.14</v>
      </c>
      <c r="H431" s="6" t="n">
        <f aca="false">F431*G431</f>
        <v>240878.56</v>
      </c>
    </row>
    <row r="432" customFormat="false" ht="15" hidden="false" customHeight="false" outlineLevel="0" collapsed="false">
      <c r="A432" s="3" t="s">
        <v>466</v>
      </c>
      <c r="B432" s="3" t="s">
        <v>462</v>
      </c>
      <c r="C432" s="3" t="n">
        <v>18</v>
      </c>
      <c r="D432" s="4" t="s">
        <v>11</v>
      </c>
      <c r="E432" s="3" t="s">
        <v>20</v>
      </c>
      <c r="F432" s="5" t="n">
        <v>82</v>
      </c>
      <c r="G432" s="6" t="n">
        <v>2347.69</v>
      </c>
      <c r="H432" s="6" t="n">
        <f aca="false">F432*G432</f>
        <v>192510.58</v>
      </c>
    </row>
    <row r="433" customFormat="false" ht="15" hidden="false" customHeight="false" outlineLevel="0" collapsed="false">
      <c r="A433" s="3" t="s">
        <v>467</v>
      </c>
      <c r="B433" s="3" t="s">
        <v>462</v>
      </c>
      <c r="C433" s="3" t="n">
        <v>18</v>
      </c>
      <c r="D433" s="4" t="s">
        <v>22</v>
      </c>
      <c r="E433" s="3" t="s">
        <v>12</v>
      </c>
      <c r="F433" s="5" t="n">
        <v>158</v>
      </c>
      <c r="G433" s="6" t="n">
        <v>4517.83</v>
      </c>
      <c r="H433" s="6" t="n">
        <f aca="false">F433*G433</f>
        <v>713817.14</v>
      </c>
    </row>
    <row r="434" customFormat="false" ht="15" hidden="false" customHeight="false" outlineLevel="0" collapsed="false">
      <c r="A434" s="3" t="s">
        <v>468</v>
      </c>
      <c r="B434" s="3" t="s">
        <v>462</v>
      </c>
      <c r="C434" s="3" t="n">
        <v>18</v>
      </c>
      <c r="D434" s="4" t="s">
        <v>22</v>
      </c>
      <c r="E434" s="3" t="s">
        <v>14</v>
      </c>
      <c r="F434" s="5" t="n">
        <v>127</v>
      </c>
      <c r="G434" s="6" t="n">
        <v>4489.08</v>
      </c>
      <c r="H434" s="6" t="n">
        <f aca="false">F434*G434</f>
        <v>570113.16</v>
      </c>
    </row>
    <row r="435" customFormat="false" ht="15" hidden="false" customHeight="false" outlineLevel="0" collapsed="false">
      <c r="A435" s="3" t="s">
        <v>469</v>
      </c>
      <c r="B435" s="3" t="s">
        <v>462</v>
      </c>
      <c r="C435" s="3" t="n">
        <v>18</v>
      </c>
      <c r="D435" s="4" t="s">
        <v>22</v>
      </c>
      <c r="E435" s="3" t="s">
        <v>16</v>
      </c>
      <c r="F435" s="5" t="n">
        <v>120</v>
      </c>
      <c r="G435" s="6" t="n">
        <v>4446.04</v>
      </c>
      <c r="H435" s="6" t="n">
        <f aca="false">F435*G435</f>
        <v>533524.8</v>
      </c>
    </row>
    <row r="436" customFormat="false" ht="15" hidden="false" customHeight="false" outlineLevel="0" collapsed="false">
      <c r="A436" s="3" t="s">
        <v>470</v>
      </c>
      <c r="B436" s="3" t="s">
        <v>462</v>
      </c>
      <c r="C436" s="3" t="n">
        <v>18</v>
      </c>
      <c r="D436" s="4" t="s">
        <v>22</v>
      </c>
      <c r="E436" s="3" t="s">
        <v>18</v>
      </c>
      <c r="F436" s="5" t="n">
        <v>123</v>
      </c>
      <c r="G436" s="6" t="n">
        <v>4038.69</v>
      </c>
      <c r="H436" s="6" t="n">
        <f aca="false">F436*G436</f>
        <v>496758.87</v>
      </c>
    </row>
    <row r="437" customFormat="false" ht="15" hidden="false" customHeight="false" outlineLevel="0" collapsed="false">
      <c r="A437" s="3" t="s">
        <v>471</v>
      </c>
      <c r="B437" s="3" t="s">
        <v>462</v>
      </c>
      <c r="C437" s="3" t="n">
        <v>18</v>
      </c>
      <c r="D437" s="4" t="s">
        <v>22</v>
      </c>
      <c r="E437" s="3" t="s">
        <v>20</v>
      </c>
      <c r="F437" s="5" t="n">
        <v>79</v>
      </c>
      <c r="G437" s="6" t="n">
        <v>4499.51</v>
      </c>
      <c r="H437" s="6" t="n">
        <f aca="false">F437*G437</f>
        <v>355461.29</v>
      </c>
    </row>
    <row r="438" customFormat="false" ht="15" hidden="false" customHeight="false" outlineLevel="0" collapsed="false">
      <c r="A438" s="3" t="s">
        <v>472</v>
      </c>
      <c r="B438" s="3" t="s">
        <v>462</v>
      </c>
      <c r="C438" s="3" t="n">
        <v>18</v>
      </c>
      <c r="D438" s="4" t="s">
        <v>28</v>
      </c>
      <c r="E438" s="3" t="s">
        <v>12</v>
      </c>
      <c r="F438" s="5" t="n">
        <v>160</v>
      </c>
      <c r="G438" s="6" t="n">
        <v>1827.69</v>
      </c>
      <c r="H438" s="6" t="n">
        <f aca="false">F438*G438</f>
        <v>292430.4</v>
      </c>
    </row>
    <row r="439" customFormat="false" ht="15" hidden="false" customHeight="false" outlineLevel="0" collapsed="false">
      <c r="A439" s="3" t="s">
        <v>473</v>
      </c>
      <c r="B439" s="3" t="s">
        <v>462</v>
      </c>
      <c r="C439" s="3" t="n">
        <v>18</v>
      </c>
      <c r="D439" s="4" t="s">
        <v>28</v>
      </c>
      <c r="E439" s="3" t="s">
        <v>14</v>
      </c>
      <c r="F439" s="5" t="n">
        <v>127</v>
      </c>
      <c r="G439" s="6" t="n">
        <v>1718.68</v>
      </c>
      <c r="H439" s="6" t="n">
        <f aca="false">F439*G439</f>
        <v>218272.36</v>
      </c>
    </row>
    <row r="440" customFormat="false" ht="15" hidden="false" customHeight="false" outlineLevel="0" collapsed="false">
      <c r="A440" s="3" t="s">
        <v>474</v>
      </c>
      <c r="B440" s="3" t="s">
        <v>462</v>
      </c>
      <c r="C440" s="3" t="n">
        <v>18</v>
      </c>
      <c r="D440" s="4" t="s">
        <v>28</v>
      </c>
      <c r="E440" s="3" t="s">
        <v>16</v>
      </c>
      <c r="F440" s="5" t="n">
        <v>110</v>
      </c>
      <c r="G440" s="6" t="n">
        <v>1696.71</v>
      </c>
      <c r="H440" s="6" t="n">
        <f aca="false">F440*G440</f>
        <v>186638.1</v>
      </c>
    </row>
    <row r="441" customFormat="false" ht="15" hidden="false" customHeight="false" outlineLevel="0" collapsed="false">
      <c r="A441" s="3" t="s">
        <v>475</v>
      </c>
      <c r="B441" s="3" t="s">
        <v>462</v>
      </c>
      <c r="C441" s="3" t="n">
        <v>18</v>
      </c>
      <c r="D441" s="4" t="s">
        <v>28</v>
      </c>
      <c r="E441" s="3" t="s">
        <v>18</v>
      </c>
      <c r="F441" s="5" t="n">
        <v>116</v>
      </c>
      <c r="G441" s="6" t="n">
        <v>1729.42</v>
      </c>
      <c r="H441" s="6" t="n">
        <f aca="false">F441*G441</f>
        <v>200612.72</v>
      </c>
    </row>
    <row r="442" customFormat="false" ht="15" hidden="false" customHeight="false" outlineLevel="0" collapsed="false">
      <c r="A442" s="3" t="s">
        <v>476</v>
      </c>
      <c r="B442" s="3" t="s">
        <v>462</v>
      </c>
      <c r="C442" s="3" t="n">
        <v>18</v>
      </c>
      <c r="D442" s="4" t="s">
        <v>28</v>
      </c>
      <c r="E442" s="3" t="s">
        <v>20</v>
      </c>
      <c r="F442" s="5" t="n">
        <v>82</v>
      </c>
      <c r="G442" s="6" t="n">
        <v>1843.67</v>
      </c>
      <c r="H442" s="6" t="n">
        <f aca="false">F442*G442</f>
        <v>151180.94</v>
      </c>
    </row>
    <row r="443" customFormat="false" ht="15" hidden="false" customHeight="false" outlineLevel="0" collapsed="false">
      <c r="A443" s="3" t="s">
        <v>477</v>
      </c>
      <c r="B443" s="3" t="s">
        <v>462</v>
      </c>
      <c r="C443" s="3" t="n">
        <v>18</v>
      </c>
      <c r="D443" s="4" t="s">
        <v>34</v>
      </c>
      <c r="E443" s="3" t="s">
        <v>12</v>
      </c>
      <c r="F443" s="5" t="n">
        <v>144</v>
      </c>
      <c r="G443" s="6" t="n">
        <v>5991.84</v>
      </c>
      <c r="H443" s="6" t="n">
        <f aca="false">F443*G443</f>
        <v>862824.96</v>
      </c>
    </row>
    <row r="444" customFormat="false" ht="15" hidden="false" customHeight="false" outlineLevel="0" collapsed="false">
      <c r="A444" s="3" t="s">
        <v>478</v>
      </c>
      <c r="B444" s="3" t="s">
        <v>462</v>
      </c>
      <c r="C444" s="3" t="n">
        <v>18</v>
      </c>
      <c r="D444" s="4" t="s">
        <v>34</v>
      </c>
      <c r="E444" s="3" t="s">
        <v>14</v>
      </c>
      <c r="F444" s="5" t="n">
        <v>118</v>
      </c>
      <c r="G444" s="6" t="n">
        <v>6685.45</v>
      </c>
      <c r="H444" s="6" t="n">
        <f aca="false">F444*G444</f>
        <v>788883.1</v>
      </c>
    </row>
    <row r="445" customFormat="false" ht="15" hidden="false" customHeight="false" outlineLevel="0" collapsed="false">
      <c r="A445" s="3" t="s">
        <v>479</v>
      </c>
      <c r="B445" s="3" t="s">
        <v>462</v>
      </c>
      <c r="C445" s="3" t="n">
        <v>18</v>
      </c>
      <c r="D445" s="4" t="s">
        <v>34</v>
      </c>
      <c r="E445" s="3" t="s">
        <v>16</v>
      </c>
      <c r="F445" s="5" t="n">
        <v>110</v>
      </c>
      <c r="G445" s="6" t="n">
        <v>6304.68</v>
      </c>
      <c r="H445" s="6" t="n">
        <f aca="false">F445*G445</f>
        <v>693514.8</v>
      </c>
    </row>
    <row r="446" customFormat="false" ht="15" hidden="false" customHeight="false" outlineLevel="0" collapsed="false">
      <c r="A446" s="3" t="s">
        <v>480</v>
      </c>
      <c r="B446" s="3" t="s">
        <v>462</v>
      </c>
      <c r="C446" s="3" t="n">
        <v>18</v>
      </c>
      <c r="D446" s="4" t="s">
        <v>34</v>
      </c>
      <c r="E446" s="3" t="s">
        <v>18</v>
      </c>
      <c r="F446" s="5" t="n">
        <v>114</v>
      </c>
      <c r="G446" s="6" t="n">
        <v>6807.09</v>
      </c>
      <c r="H446" s="6" t="n">
        <f aca="false">F446*G446</f>
        <v>776008.26</v>
      </c>
    </row>
    <row r="447" customFormat="false" ht="15" hidden="false" customHeight="false" outlineLevel="0" collapsed="false">
      <c r="A447" s="3" t="s">
        <v>481</v>
      </c>
      <c r="B447" s="3" t="s">
        <v>462</v>
      </c>
      <c r="C447" s="3" t="n">
        <v>18</v>
      </c>
      <c r="D447" s="4" t="s">
        <v>34</v>
      </c>
      <c r="E447" s="3" t="s">
        <v>20</v>
      </c>
      <c r="F447" s="5" t="n">
        <v>79</v>
      </c>
      <c r="G447" s="6" t="n">
        <v>6045.8</v>
      </c>
      <c r="H447" s="6" t="n">
        <f aca="false">F447*G447</f>
        <v>477618.2</v>
      </c>
    </row>
    <row r="448" customFormat="false" ht="15" hidden="false" customHeight="false" outlineLevel="0" collapsed="false">
      <c r="A448" s="3" t="s">
        <v>482</v>
      </c>
      <c r="B448" s="3" t="s">
        <v>462</v>
      </c>
      <c r="C448" s="3" t="n">
        <v>18</v>
      </c>
      <c r="D448" s="4" t="s">
        <v>40</v>
      </c>
      <c r="E448" s="3" t="s">
        <v>12</v>
      </c>
      <c r="F448" s="5" t="n">
        <v>156</v>
      </c>
      <c r="G448" s="6" t="n">
        <v>3048.07</v>
      </c>
      <c r="H448" s="6" t="n">
        <f aca="false">F448*G448</f>
        <v>475498.92</v>
      </c>
    </row>
    <row r="449" customFormat="false" ht="15" hidden="false" customHeight="false" outlineLevel="0" collapsed="false">
      <c r="A449" s="3" t="s">
        <v>483</v>
      </c>
      <c r="B449" s="3" t="s">
        <v>462</v>
      </c>
      <c r="C449" s="3" t="n">
        <v>18</v>
      </c>
      <c r="D449" s="4" t="s">
        <v>40</v>
      </c>
      <c r="E449" s="3" t="s">
        <v>14</v>
      </c>
      <c r="F449" s="5" t="n">
        <v>114</v>
      </c>
      <c r="G449" s="6" t="n">
        <v>3169.03</v>
      </c>
      <c r="H449" s="6" t="n">
        <f aca="false">F449*G449</f>
        <v>361269.42</v>
      </c>
    </row>
    <row r="450" customFormat="false" ht="15" hidden="false" customHeight="false" outlineLevel="0" collapsed="false">
      <c r="A450" s="3" t="s">
        <v>484</v>
      </c>
      <c r="B450" s="3" t="s">
        <v>462</v>
      </c>
      <c r="C450" s="3" t="n">
        <v>18</v>
      </c>
      <c r="D450" s="4" t="s">
        <v>40</v>
      </c>
      <c r="E450" s="3" t="s">
        <v>16</v>
      </c>
      <c r="F450" s="5" t="n">
        <v>131</v>
      </c>
      <c r="G450" s="6" t="n">
        <v>2933.19</v>
      </c>
      <c r="H450" s="6" t="n">
        <f aca="false">F450*G450</f>
        <v>384247.89</v>
      </c>
    </row>
    <row r="451" customFormat="false" ht="15" hidden="false" customHeight="false" outlineLevel="0" collapsed="false">
      <c r="A451" s="3" t="s">
        <v>485</v>
      </c>
      <c r="B451" s="3" t="s">
        <v>462</v>
      </c>
      <c r="C451" s="3" t="n">
        <v>18</v>
      </c>
      <c r="D451" s="4" t="s">
        <v>40</v>
      </c>
      <c r="E451" s="3" t="s">
        <v>18</v>
      </c>
      <c r="F451" s="5" t="n">
        <v>104</v>
      </c>
      <c r="G451" s="6" t="n">
        <v>3055.26</v>
      </c>
      <c r="H451" s="6" t="n">
        <f aca="false">F451*G451</f>
        <v>317747.04</v>
      </c>
    </row>
    <row r="452" customFormat="false" ht="15" hidden="false" customHeight="false" outlineLevel="0" collapsed="false">
      <c r="A452" s="3" t="s">
        <v>486</v>
      </c>
      <c r="B452" s="3" t="s">
        <v>462</v>
      </c>
      <c r="C452" s="3" t="n">
        <v>18</v>
      </c>
      <c r="D452" s="4" t="s">
        <v>40</v>
      </c>
      <c r="E452" s="3" t="s">
        <v>20</v>
      </c>
      <c r="F452" s="5" t="n">
        <v>106</v>
      </c>
      <c r="G452" s="6" t="n">
        <v>3004.57</v>
      </c>
      <c r="H452" s="6" t="n">
        <f aca="false">F452*G452</f>
        <v>318484.42</v>
      </c>
    </row>
    <row r="453" customFormat="false" ht="15" hidden="false" customHeight="false" outlineLevel="0" collapsed="false">
      <c r="A453" s="3" t="s">
        <v>487</v>
      </c>
      <c r="B453" s="3" t="s">
        <v>488</v>
      </c>
      <c r="C453" s="3" t="n">
        <v>19</v>
      </c>
      <c r="D453" s="4" t="s">
        <v>11</v>
      </c>
      <c r="E453" s="3" t="s">
        <v>12</v>
      </c>
      <c r="F453" s="5" t="n">
        <v>162</v>
      </c>
      <c r="G453" s="6" t="n">
        <v>2424.94</v>
      </c>
      <c r="H453" s="6" t="n">
        <f aca="false">F453*G453</f>
        <v>392840.28</v>
      </c>
    </row>
    <row r="454" customFormat="false" ht="15" hidden="false" customHeight="false" outlineLevel="0" collapsed="false">
      <c r="A454" s="3" t="s">
        <v>489</v>
      </c>
      <c r="B454" s="3" t="s">
        <v>488</v>
      </c>
      <c r="C454" s="3" t="n">
        <v>19</v>
      </c>
      <c r="D454" s="4" t="s">
        <v>11</v>
      </c>
      <c r="E454" s="3" t="s">
        <v>14</v>
      </c>
      <c r="F454" s="5" t="n">
        <v>133</v>
      </c>
      <c r="G454" s="6" t="n">
        <v>2442.87</v>
      </c>
      <c r="H454" s="6" t="n">
        <f aca="false">F454*G454</f>
        <v>324901.71</v>
      </c>
    </row>
    <row r="455" customFormat="false" ht="15" hidden="false" customHeight="false" outlineLevel="0" collapsed="false">
      <c r="A455" s="3" t="s">
        <v>490</v>
      </c>
      <c r="B455" s="3" t="s">
        <v>488</v>
      </c>
      <c r="C455" s="3" t="n">
        <v>19</v>
      </c>
      <c r="D455" s="4" t="s">
        <v>11</v>
      </c>
      <c r="E455" s="3" t="s">
        <v>16</v>
      </c>
      <c r="F455" s="5" t="n">
        <v>148</v>
      </c>
      <c r="G455" s="6" t="n">
        <v>2645.7</v>
      </c>
      <c r="H455" s="6" t="n">
        <f aca="false">F455*G455</f>
        <v>391563.6</v>
      </c>
    </row>
    <row r="456" customFormat="false" ht="15" hidden="false" customHeight="false" outlineLevel="0" collapsed="false">
      <c r="A456" s="3" t="s">
        <v>491</v>
      </c>
      <c r="B456" s="3" t="s">
        <v>488</v>
      </c>
      <c r="C456" s="3" t="n">
        <v>19</v>
      </c>
      <c r="D456" s="4" t="s">
        <v>11</v>
      </c>
      <c r="E456" s="3" t="s">
        <v>18</v>
      </c>
      <c r="F456" s="5" t="n">
        <v>104</v>
      </c>
      <c r="G456" s="6" t="n">
        <v>2445.51</v>
      </c>
      <c r="H456" s="6" t="n">
        <f aca="false">F456*G456</f>
        <v>254333.04</v>
      </c>
    </row>
    <row r="457" customFormat="false" ht="15" hidden="false" customHeight="false" outlineLevel="0" collapsed="false">
      <c r="A457" s="3" t="s">
        <v>492</v>
      </c>
      <c r="B457" s="3" t="s">
        <v>488</v>
      </c>
      <c r="C457" s="3" t="n">
        <v>19</v>
      </c>
      <c r="D457" s="4" t="s">
        <v>11</v>
      </c>
      <c r="E457" s="3" t="s">
        <v>20</v>
      </c>
      <c r="F457" s="5" t="n">
        <v>85</v>
      </c>
      <c r="G457" s="6" t="n">
        <v>2591.21</v>
      </c>
      <c r="H457" s="6" t="n">
        <f aca="false">F457*G457</f>
        <v>220252.85</v>
      </c>
    </row>
    <row r="458" customFormat="false" ht="15" hidden="false" customHeight="false" outlineLevel="0" collapsed="false">
      <c r="A458" s="3" t="s">
        <v>493</v>
      </c>
      <c r="B458" s="3" t="s">
        <v>488</v>
      </c>
      <c r="C458" s="3" t="n">
        <v>19</v>
      </c>
      <c r="D458" s="4" t="s">
        <v>22</v>
      </c>
      <c r="E458" s="3" t="s">
        <v>12</v>
      </c>
      <c r="F458" s="5" t="n">
        <v>180</v>
      </c>
      <c r="G458" s="6" t="n">
        <v>3867.95</v>
      </c>
      <c r="H458" s="6" t="n">
        <f aca="false">F458*G458</f>
        <v>696231</v>
      </c>
    </row>
    <row r="459" customFormat="false" ht="15" hidden="false" customHeight="false" outlineLevel="0" collapsed="false">
      <c r="A459" s="3" t="s">
        <v>494</v>
      </c>
      <c r="B459" s="3" t="s">
        <v>488</v>
      </c>
      <c r="C459" s="3" t="n">
        <v>19</v>
      </c>
      <c r="D459" s="4" t="s">
        <v>22</v>
      </c>
      <c r="E459" s="3" t="s">
        <v>14</v>
      </c>
      <c r="F459" s="5" t="n">
        <v>152</v>
      </c>
      <c r="G459" s="6" t="n">
        <v>4148.76</v>
      </c>
      <c r="H459" s="6" t="n">
        <f aca="false">F459*G459</f>
        <v>630611.52</v>
      </c>
    </row>
    <row r="460" customFormat="false" ht="15" hidden="false" customHeight="false" outlineLevel="0" collapsed="false">
      <c r="A460" s="3" t="s">
        <v>495</v>
      </c>
      <c r="B460" s="3" t="s">
        <v>488</v>
      </c>
      <c r="C460" s="3" t="n">
        <v>19</v>
      </c>
      <c r="D460" s="4" t="s">
        <v>22</v>
      </c>
      <c r="E460" s="3" t="s">
        <v>16</v>
      </c>
      <c r="F460" s="5" t="n">
        <v>143</v>
      </c>
      <c r="G460" s="6" t="n">
        <v>4136.98</v>
      </c>
      <c r="H460" s="6" t="n">
        <f aca="false">F460*G460</f>
        <v>591588.14</v>
      </c>
    </row>
    <row r="461" customFormat="false" ht="15" hidden="false" customHeight="false" outlineLevel="0" collapsed="false">
      <c r="A461" s="3" t="s">
        <v>496</v>
      </c>
      <c r="B461" s="3" t="s">
        <v>488</v>
      </c>
      <c r="C461" s="3" t="n">
        <v>19</v>
      </c>
      <c r="D461" s="4" t="s">
        <v>22</v>
      </c>
      <c r="E461" s="3" t="s">
        <v>18</v>
      </c>
      <c r="F461" s="5" t="n">
        <v>103</v>
      </c>
      <c r="G461" s="6" t="n">
        <v>4173.73</v>
      </c>
      <c r="H461" s="6" t="n">
        <f aca="false">F461*G461</f>
        <v>429894.19</v>
      </c>
    </row>
    <row r="462" customFormat="false" ht="15" hidden="false" customHeight="false" outlineLevel="0" collapsed="false">
      <c r="A462" s="3" t="s">
        <v>497</v>
      </c>
      <c r="B462" s="3" t="s">
        <v>488</v>
      </c>
      <c r="C462" s="3" t="n">
        <v>19</v>
      </c>
      <c r="D462" s="4" t="s">
        <v>22</v>
      </c>
      <c r="E462" s="3" t="s">
        <v>20</v>
      </c>
      <c r="F462" s="5" t="n">
        <v>97</v>
      </c>
      <c r="G462" s="6" t="n">
        <v>3873.97</v>
      </c>
      <c r="H462" s="6" t="n">
        <f aca="false">F462*G462</f>
        <v>375775.09</v>
      </c>
    </row>
    <row r="463" customFormat="false" ht="15" hidden="false" customHeight="false" outlineLevel="0" collapsed="false">
      <c r="A463" s="3" t="s">
        <v>498</v>
      </c>
      <c r="B463" s="3" t="s">
        <v>488</v>
      </c>
      <c r="C463" s="3" t="n">
        <v>19</v>
      </c>
      <c r="D463" s="4" t="s">
        <v>28</v>
      </c>
      <c r="E463" s="3" t="s">
        <v>12</v>
      </c>
      <c r="F463" s="5" t="n">
        <v>181</v>
      </c>
      <c r="G463" s="6" t="n">
        <v>1840.51</v>
      </c>
      <c r="H463" s="6" t="n">
        <f aca="false">F463*G463</f>
        <v>333132.31</v>
      </c>
    </row>
    <row r="464" customFormat="false" ht="15" hidden="false" customHeight="false" outlineLevel="0" collapsed="false">
      <c r="A464" s="3" t="s">
        <v>499</v>
      </c>
      <c r="B464" s="3" t="s">
        <v>488</v>
      </c>
      <c r="C464" s="3" t="n">
        <v>19</v>
      </c>
      <c r="D464" s="4" t="s">
        <v>28</v>
      </c>
      <c r="E464" s="3" t="s">
        <v>14</v>
      </c>
      <c r="F464" s="5" t="n">
        <v>143</v>
      </c>
      <c r="G464" s="6" t="n">
        <v>1681.64</v>
      </c>
      <c r="H464" s="6" t="n">
        <f aca="false">F464*G464</f>
        <v>240474.52</v>
      </c>
    </row>
    <row r="465" customFormat="false" ht="15" hidden="false" customHeight="false" outlineLevel="0" collapsed="false">
      <c r="A465" s="3" t="s">
        <v>500</v>
      </c>
      <c r="B465" s="3" t="s">
        <v>488</v>
      </c>
      <c r="C465" s="3" t="n">
        <v>19</v>
      </c>
      <c r="D465" s="4" t="s">
        <v>28</v>
      </c>
      <c r="E465" s="3" t="s">
        <v>16</v>
      </c>
      <c r="F465" s="5" t="n">
        <v>127</v>
      </c>
      <c r="G465" s="6" t="n">
        <v>1762.8</v>
      </c>
      <c r="H465" s="6" t="n">
        <f aca="false">F465*G465</f>
        <v>223875.6</v>
      </c>
    </row>
    <row r="466" customFormat="false" ht="15" hidden="false" customHeight="false" outlineLevel="0" collapsed="false">
      <c r="A466" s="3" t="s">
        <v>501</v>
      </c>
      <c r="B466" s="3" t="s">
        <v>488</v>
      </c>
      <c r="C466" s="3" t="n">
        <v>19</v>
      </c>
      <c r="D466" s="4" t="s">
        <v>28</v>
      </c>
      <c r="E466" s="3" t="s">
        <v>18</v>
      </c>
      <c r="F466" s="5" t="n">
        <v>107</v>
      </c>
      <c r="G466" s="6" t="n">
        <v>1698.02</v>
      </c>
      <c r="H466" s="6" t="n">
        <f aca="false">F466*G466</f>
        <v>181688.14</v>
      </c>
    </row>
    <row r="467" customFormat="false" ht="15" hidden="false" customHeight="false" outlineLevel="0" collapsed="false">
      <c r="A467" s="3" t="s">
        <v>502</v>
      </c>
      <c r="B467" s="3" t="s">
        <v>488</v>
      </c>
      <c r="C467" s="3" t="n">
        <v>19</v>
      </c>
      <c r="D467" s="4" t="s">
        <v>28</v>
      </c>
      <c r="E467" s="3" t="s">
        <v>20</v>
      </c>
      <c r="F467" s="5" t="n">
        <v>109</v>
      </c>
      <c r="G467" s="6" t="n">
        <v>1806.09</v>
      </c>
      <c r="H467" s="6" t="n">
        <f aca="false">F467*G467</f>
        <v>196863.81</v>
      </c>
    </row>
    <row r="468" customFormat="false" ht="15" hidden="false" customHeight="false" outlineLevel="0" collapsed="false">
      <c r="A468" s="3" t="s">
        <v>503</v>
      </c>
      <c r="B468" s="3" t="s">
        <v>488</v>
      </c>
      <c r="C468" s="3" t="n">
        <v>19</v>
      </c>
      <c r="D468" s="4" t="s">
        <v>34</v>
      </c>
      <c r="E468" s="3" t="s">
        <v>12</v>
      </c>
      <c r="F468" s="5" t="n">
        <v>158</v>
      </c>
      <c r="G468" s="6" t="n">
        <v>6093.14</v>
      </c>
      <c r="H468" s="6" t="n">
        <f aca="false">F468*G468</f>
        <v>962716.12</v>
      </c>
    </row>
    <row r="469" customFormat="false" ht="15" hidden="false" customHeight="false" outlineLevel="0" collapsed="false">
      <c r="A469" s="3" t="s">
        <v>504</v>
      </c>
      <c r="B469" s="3" t="s">
        <v>488</v>
      </c>
      <c r="C469" s="3" t="n">
        <v>19</v>
      </c>
      <c r="D469" s="4" t="s">
        <v>34</v>
      </c>
      <c r="E469" s="3" t="s">
        <v>14</v>
      </c>
      <c r="F469" s="5" t="n">
        <v>159</v>
      </c>
      <c r="G469" s="6" t="n">
        <v>6817.01</v>
      </c>
      <c r="H469" s="6" t="n">
        <f aca="false">F469*G469</f>
        <v>1083904.59</v>
      </c>
    </row>
    <row r="470" customFormat="false" ht="15" hidden="false" customHeight="false" outlineLevel="0" collapsed="false">
      <c r="A470" s="3" t="s">
        <v>505</v>
      </c>
      <c r="B470" s="3" t="s">
        <v>488</v>
      </c>
      <c r="C470" s="3" t="n">
        <v>19</v>
      </c>
      <c r="D470" s="4" t="s">
        <v>34</v>
      </c>
      <c r="E470" s="3" t="s">
        <v>16</v>
      </c>
      <c r="F470" s="5" t="n">
        <v>110</v>
      </c>
      <c r="G470" s="6" t="n">
        <v>6185.24</v>
      </c>
      <c r="H470" s="6" t="n">
        <f aca="false">F470*G470</f>
        <v>680376.4</v>
      </c>
    </row>
    <row r="471" customFormat="false" ht="15" hidden="false" customHeight="false" outlineLevel="0" collapsed="false">
      <c r="A471" s="3" t="s">
        <v>506</v>
      </c>
      <c r="B471" s="3" t="s">
        <v>488</v>
      </c>
      <c r="C471" s="3" t="n">
        <v>19</v>
      </c>
      <c r="D471" s="4" t="s">
        <v>34</v>
      </c>
      <c r="E471" s="3" t="s">
        <v>18</v>
      </c>
      <c r="F471" s="5" t="n">
        <v>135</v>
      </c>
      <c r="G471" s="6" t="n">
        <v>6960.8</v>
      </c>
      <c r="H471" s="6" t="n">
        <f aca="false">F471*G471</f>
        <v>939708</v>
      </c>
    </row>
    <row r="472" customFormat="false" ht="15" hidden="false" customHeight="false" outlineLevel="0" collapsed="false">
      <c r="A472" s="3" t="s">
        <v>507</v>
      </c>
      <c r="B472" s="3" t="s">
        <v>488</v>
      </c>
      <c r="C472" s="3" t="n">
        <v>19</v>
      </c>
      <c r="D472" s="4" t="s">
        <v>34</v>
      </c>
      <c r="E472" s="3" t="s">
        <v>20</v>
      </c>
      <c r="F472" s="5" t="n">
        <v>80</v>
      </c>
      <c r="G472" s="6" t="n">
        <v>6482.05</v>
      </c>
      <c r="H472" s="6" t="n">
        <f aca="false">F472*G472</f>
        <v>518564</v>
      </c>
    </row>
    <row r="473" customFormat="false" ht="15" hidden="false" customHeight="false" outlineLevel="0" collapsed="false">
      <c r="A473" s="3" t="s">
        <v>508</v>
      </c>
      <c r="B473" s="3" t="s">
        <v>488</v>
      </c>
      <c r="C473" s="3" t="n">
        <v>19</v>
      </c>
      <c r="D473" s="4" t="s">
        <v>40</v>
      </c>
      <c r="E473" s="3" t="s">
        <v>12</v>
      </c>
      <c r="F473" s="5" t="n">
        <v>152</v>
      </c>
      <c r="G473" s="6" t="n">
        <v>3311.38</v>
      </c>
      <c r="H473" s="6" t="n">
        <f aca="false">F473*G473</f>
        <v>503329.76</v>
      </c>
    </row>
    <row r="474" customFormat="false" ht="15" hidden="false" customHeight="false" outlineLevel="0" collapsed="false">
      <c r="A474" s="3" t="s">
        <v>509</v>
      </c>
      <c r="B474" s="3" t="s">
        <v>488</v>
      </c>
      <c r="C474" s="3" t="n">
        <v>19</v>
      </c>
      <c r="D474" s="4" t="s">
        <v>40</v>
      </c>
      <c r="E474" s="3" t="s">
        <v>14</v>
      </c>
      <c r="F474" s="5" t="n">
        <v>143</v>
      </c>
      <c r="G474" s="6" t="n">
        <v>3300.49</v>
      </c>
      <c r="H474" s="6" t="n">
        <f aca="false">F474*G474</f>
        <v>471970.07</v>
      </c>
    </row>
    <row r="475" customFormat="false" ht="15" hidden="false" customHeight="false" outlineLevel="0" collapsed="false">
      <c r="A475" s="3" t="s">
        <v>510</v>
      </c>
      <c r="B475" s="3" t="s">
        <v>488</v>
      </c>
      <c r="C475" s="3" t="n">
        <v>19</v>
      </c>
      <c r="D475" s="4" t="s">
        <v>40</v>
      </c>
      <c r="E475" s="3" t="s">
        <v>16</v>
      </c>
      <c r="F475" s="5" t="n">
        <v>112</v>
      </c>
      <c r="G475" s="6" t="n">
        <v>3260.98</v>
      </c>
      <c r="H475" s="6" t="n">
        <f aca="false">F475*G475</f>
        <v>365229.76</v>
      </c>
    </row>
    <row r="476" customFormat="false" ht="15" hidden="false" customHeight="false" outlineLevel="0" collapsed="false">
      <c r="A476" s="3" t="s">
        <v>511</v>
      </c>
      <c r="B476" s="3" t="s">
        <v>488</v>
      </c>
      <c r="C476" s="3" t="n">
        <v>19</v>
      </c>
      <c r="D476" s="4" t="s">
        <v>40</v>
      </c>
      <c r="E476" s="3" t="s">
        <v>18</v>
      </c>
      <c r="F476" s="5" t="n">
        <v>105</v>
      </c>
      <c r="G476" s="6" t="n">
        <v>3241.77</v>
      </c>
      <c r="H476" s="6" t="n">
        <f aca="false">F476*G476</f>
        <v>340385.85</v>
      </c>
    </row>
    <row r="477" customFormat="false" ht="15" hidden="false" customHeight="false" outlineLevel="0" collapsed="false">
      <c r="A477" s="3" t="s">
        <v>512</v>
      </c>
      <c r="B477" s="3" t="s">
        <v>488</v>
      </c>
      <c r="C477" s="3" t="n">
        <v>19</v>
      </c>
      <c r="D477" s="4" t="s">
        <v>40</v>
      </c>
      <c r="E477" s="3" t="s">
        <v>20</v>
      </c>
      <c r="F477" s="5" t="n">
        <v>106</v>
      </c>
      <c r="G477" s="6" t="n">
        <v>3052.62</v>
      </c>
      <c r="H477" s="6" t="n">
        <f aca="false">F477*G477</f>
        <v>323577.72</v>
      </c>
    </row>
    <row r="478" customFormat="false" ht="15" hidden="false" customHeight="false" outlineLevel="0" collapsed="false">
      <c r="A478" s="3" t="s">
        <v>513</v>
      </c>
      <c r="B478" s="3" t="s">
        <v>514</v>
      </c>
      <c r="C478" s="3" t="n">
        <v>20</v>
      </c>
      <c r="D478" s="4" t="s">
        <v>11</v>
      </c>
      <c r="E478" s="3" t="s">
        <v>12</v>
      </c>
      <c r="F478" s="5" t="n">
        <v>146</v>
      </c>
      <c r="G478" s="6" t="n">
        <v>2631.68</v>
      </c>
      <c r="H478" s="6" t="n">
        <f aca="false">F478*G478</f>
        <v>384225.28</v>
      </c>
    </row>
    <row r="479" customFormat="false" ht="15" hidden="false" customHeight="false" outlineLevel="0" collapsed="false">
      <c r="A479" s="3" t="s">
        <v>515</v>
      </c>
      <c r="B479" s="3" t="s">
        <v>514</v>
      </c>
      <c r="C479" s="3" t="n">
        <v>20</v>
      </c>
      <c r="D479" s="4" t="s">
        <v>11</v>
      </c>
      <c r="E479" s="3" t="s">
        <v>14</v>
      </c>
      <c r="F479" s="5" t="n">
        <v>137</v>
      </c>
      <c r="G479" s="6" t="n">
        <v>2387.25</v>
      </c>
      <c r="H479" s="6" t="n">
        <f aca="false">F479*G479</f>
        <v>327053.25</v>
      </c>
    </row>
    <row r="480" customFormat="false" ht="15" hidden="false" customHeight="false" outlineLevel="0" collapsed="false">
      <c r="A480" s="3" t="s">
        <v>516</v>
      </c>
      <c r="B480" s="3" t="s">
        <v>514</v>
      </c>
      <c r="C480" s="3" t="n">
        <v>20</v>
      </c>
      <c r="D480" s="4" t="s">
        <v>11</v>
      </c>
      <c r="E480" s="3" t="s">
        <v>16</v>
      </c>
      <c r="F480" s="5" t="n">
        <v>125</v>
      </c>
      <c r="G480" s="6" t="n">
        <v>2507.16</v>
      </c>
      <c r="H480" s="6" t="n">
        <f aca="false">F480*G480</f>
        <v>313395</v>
      </c>
    </row>
    <row r="481" customFormat="false" ht="15" hidden="false" customHeight="false" outlineLevel="0" collapsed="false">
      <c r="A481" s="3" t="s">
        <v>517</v>
      </c>
      <c r="B481" s="3" t="s">
        <v>514</v>
      </c>
      <c r="C481" s="3" t="n">
        <v>20</v>
      </c>
      <c r="D481" s="4" t="s">
        <v>11</v>
      </c>
      <c r="E481" s="3" t="s">
        <v>18</v>
      </c>
      <c r="F481" s="5" t="n">
        <v>109</v>
      </c>
      <c r="G481" s="6" t="n">
        <v>2349.22</v>
      </c>
      <c r="H481" s="6" t="n">
        <f aca="false">F481*G481</f>
        <v>256064.98</v>
      </c>
    </row>
    <row r="482" customFormat="false" ht="15" hidden="false" customHeight="false" outlineLevel="0" collapsed="false">
      <c r="A482" s="3" t="s">
        <v>518</v>
      </c>
      <c r="B482" s="3" t="s">
        <v>514</v>
      </c>
      <c r="C482" s="3" t="n">
        <v>20</v>
      </c>
      <c r="D482" s="4" t="s">
        <v>11</v>
      </c>
      <c r="E482" s="3" t="s">
        <v>20</v>
      </c>
      <c r="F482" s="5" t="n">
        <v>111</v>
      </c>
      <c r="G482" s="6" t="n">
        <v>2589.95</v>
      </c>
      <c r="H482" s="6" t="n">
        <f aca="false">F482*G482</f>
        <v>287484.45</v>
      </c>
    </row>
    <row r="483" customFormat="false" ht="15" hidden="false" customHeight="false" outlineLevel="0" collapsed="false">
      <c r="A483" s="3" t="s">
        <v>519</v>
      </c>
      <c r="B483" s="3" t="s">
        <v>514</v>
      </c>
      <c r="C483" s="3" t="n">
        <v>20</v>
      </c>
      <c r="D483" s="4" t="s">
        <v>22</v>
      </c>
      <c r="E483" s="3" t="s">
        <v>12</v>
      </c>
      <c r="F483" s="5" t="n">
        <v>167</v>
      </c>
      <c r="G483" s="6" t="n">
        <v>3891.62</v>
      </c>
      <c r="H483" s="6" t="n">
        <f aca="false">F483*G483</f>
        <v>649900.54</v>
      </c>
    </row>
    <row r="484" customFormat="false" ht="15" hidden="false" customHeight="false" outlineLevel="0" collapsed="false">
      <c r="A484" s="3" t="s">
        <v>520</v>
      </c>
      <c r="B484" s="3" t="s">
        <v>514</v>
      </c>
      <c r="C484" s="3" t="n">
        <v>20</v>
      </c>
      <c r="D484" s="4" t="s">
        <v>22</v>
      </c>
      <c r="E484" s="3" t="s">
        <v>14</v>
      </c>
      <c r="F484" s="5" t="n">
        <v>119</v>
      </c>
      <c r="G484" s="6" t="n">
        <v>4373.01</v>
      </c>
      <c r="H484" s="6" t="n">
        <f aca="false">F484*G484</f>
        <v>520388.19</v>
      </c>
    </row>
    <row r="485" customFormat="false" ht="15" hidden="false" customHeight="false" outlineLevel="0" collapsed="false">
      <c r="A485" s="3" t="s">
        <v>521</v>
      </c>
      <c r="B485" s="3" t="s">
        <v>514</v>
      </c>
      <c r="C485" s="3" t="n">
        <v>20</v>
      </c>
      <c r="D485" s="4" t="s">
        <v>22</v>
      </c>
      <c r="E485" s="3" t="s">
        <v>16</v>
      </c>
      <c r="F485" s="5" t="n">
        <v>114</v>
      </c>
      <c r="G485" s="6" t="n">
        <v>4427.27</v>
      </c>
      <c r="H485" s="6" t="n">
        <f aca="false">F485*G485</f>
        <v>504708.78</v>
      </c>
    </row>
    <row r="486" customFormat="false" ht="15" hidden="false" customHeight="false" outlineLevel="0" collapsed="false">
      <c r="A486" s="3" t="s">
        <v>522</v>
      </c>
      <c r="B486" s="3" t="s">
        <v>514</v>
      </c>
      <c r="C486" s="3" t="n">
        <v>20</v>
      </c>
      <c r="D486" s="4" t="s">
        <v>22</v>
      </c>
      <c r="E486" s="3" t="s">
        <v>18</v>
      </c>
      <c r="F486" s="5" t="n">
        <v>122</v>
      </c>
      <c r="G486" s="6" t="n">
        <v>4266.88</v>
      </c>
      <c r="H486" s="6" t="n">
        <f aca="false">F486*G486</f>
        <v>520559.36</v>
      </c>
    </row>
    <row r="487" customFormat="false" ht="15" hidden="false" customHeight="false" outlineLevel="0" collapsed="false">
      <c r="A487" s="3" t="s">
        <v>523</v>
      </c>
      <c r="B487" s="3" t="s">
        <v>514</v>
      </c>
      <c r="C487" s="3" t="n">
        <v>20</v>
      </c>
      <c r="D487" s="4" t="s">
        <v>22</v>
      </c>
      <c r="E487" s="3" t="s">
        <v>20</v>
      </c>
      <c r="F487" s="5" t="n">
        <v>91</v>
      </c>
      <c r="G487" s="6" t="n">
        <v>4285.37</v>
      </c>
      <c r="H487" s="6" t="n">
        <f aca="false">F487*G487</f>
        <v>389968.67</v>
      </c>
    </row>
    <row r="488" customFormat="false" ht="15" hidden="false" customHeight="false" outlineLevel="0" collapsed="false">
      <c r="A488" s="3" t="s">
        <v>524</v>
      </c>
      <c r="B488" s="3" t="s">
        <v>514</v>
      </c>
      <c r="C488" s="3" t="n">
        <v>20</v>
      </c>
      <c r="D488" s="4" t="s">
        <v>28</v>
      </c>
      <c r="E488" s="3" t="s">
        <v>12</v>
      </c>
      <c r="F488" s="5" t="n">
        <v>168</v>
      </c>
      <c r="G488" s="6" t="n">
        <v>1776.98</v>
      </c>
      <c r="H488" s="6" t="n">
        <f aca="false">F488*G488</f>
        <v>298532.64</v>
      </c>
    </row>
    <row r="489" customFormat="false" ht="15" hidden="false" customHeight="false" outlineLevel="0" collapsed="false">
      <c r="A489" s="3" t="s">
        <v>525</v>
      </c>
      <c r="B489" s="3" t="s">
        <v>514</v>
      </c>
      <c r="C489" s="3" t="n">
        <v>20</v>
      </c>
      <c r="D489" s="4" t="s">
        <v>28</v>
      </c>
      <c r="E489" s="3" t="s">
        <v>14</v>
      </c>
      <c r="F489" s="5" t="n">
        <v>149</v>
      </c>
      <c r="G489" s="6" t="n">
        <v>1778.61</v>
      </c>
      <c r="H489" s="6" t="n">
        <f aca="false">F489*G489</f>
        <v>265012.89</v>
      </c>
    </row>
    <row r="490" customFormat="false" ht="15" hidden="false" customHeight="false" outlineLevel="0" collapsed="false">
      <c r="A490" s="3" t="s">
        <v>526</v>
      </c>
      <c r="B490" s="3" t="s">
        <v>514</v>
      </c>
      <c r="C490" s="3" t="n">
        <v>20</v>
      </c>
      <c r="D490" s="4" t="s">
        <v>28</v>
      </c>
      <c r="E490" s="3" t="s">
        <v>16</v>
      </c>
      <c r="F490" s="5" t="n">
        <v>128</v>
      </c>
      <c r="G490" s="6" t="n">
        <v>1784.68</v>
      </c>
      <c r="H490" s="6" t="n">
        <f aca="false">F490*G490</f>
        <v>228439.04</v>
      </c>
    </row>
    <row r="491" customFormat="false" ht="15" hidden="false" customHeight="false" outlineLevel="0" collapsed="false">
      <c r="A491" s="3" t="s">
        <v>527</v>
      </c>
      <c r="B491" s="3" t="s">
        <v>514</v>
      </c>
      <c r="C491" s="3" t="n">
        <v>20</v>
      </c>
      <c r="D491" s="4" t="s">
        <v>28</v>
      </c>
      <c r="E491" s="3" t="s">
        <v>18</v>
      </c>
      <c r="F491" s="5" t="n">
        <v>125</v>
      </c>
      <c r="G491" s="6" t="n">
        <v>1662.73</v>
      </c>
      <c r="H491" s="6" t="n">
        <f aca="false">F491*G491</f>
        <v>207841.25</v>
      </c>
    </row>
    <row r="492" customFormat="false" ht="15" hidden="false" customHeight="false" outlineLevel="0" collapsed="false">
      <c r="A492" s="3" t="s">
        <v>528</v>
      </c>
      <c r="B492" s="3" t="s">
        <v>514</v>
      </c>
      <c r="C492" s="3" t="n">
        <v>20</v>
      </c>
      <c r="D492" s="4" t="s">
        <v>28</v>
      </c>
      <c r="E492" s="3" t="s">
        <v>20</v>
      </c>
      <c r="F492" s="5" t="n">
        <v>89</v>
      </c>
      <c r="G492" s="6" t="n">
        <v>1796.98</v>
      </c>
      <c r="H492" s="6" t="n">
        <f aca="false">F492*G492</f>
        <v>159931.22</v>
      </c>
    </row>
    <row r="493" customFormat="false" ht="15" hidden="false" customHeight="false" outlineLevel="0" collapsed="false">
      <c r="A493" s="3" t="s">
        <v>529</v>
      </c>
      <c r="B493" s="3" t="s">
        <v>514</v>
      </c>
      <c r="C493" s="3" t="n">
        <v>20</v>
      </c>
      <c r="D493" s="4" t="s">
        <v>34</v>
      </c>
      <c r="E493" s="3" t="s">
        <v>12</v>
      </c>
      <c r="F493" s="5" t="n">
        <v>179</v>
      </c>
      <c r="G493" s="6" t="n">
        <v>6774.11</v>
      </c>
      <c r="H493" s="6" t="n">
        <f aca="false">F493*G493</f>
        <v>1212565.69</v>
      </c>
    </row>
    <row r="494" customFormat="false" ht="15" hidden="false" customHeight="false" outlineLevel="0" collapsed="false">
      <c r="A494" s="3" t="s">
        <v>530</v>
      </c>
      <c r="B494" s="3" t="s">
        <v>514</v>
      </c>
      <c r="C494" s="3" t="n">
        <v>20</v>
      </c>
      <c r="D494" s="4" t="s">
        <v>34</v>
      </c>
      <c r="E494" s="3" t="s">
        <v>14</v>
      </c>
      <c r="F494" s="5" t="n">
        <v>126</v>
      </c>
      <c r="G494" s="6" t="n">
        <v>6456.62</v>
      </c>
      <c r="H494" s="6" t="n">
        <f aca="false">F494*G494</f>
        <v>813534.12</v>
      </c>
    </row>
    <row r="495" customFormat="false" ht="15" hidden="false" customHeight="false" outlineLevel="0" collapsed="false">
      <c r="A495" s="3" t="s">
        <v>531</v>
      </c>
      <c r="B495" s="3" t="s">
        <v>514</v>
      </c>
      <c r="C495" s="3" t="n">
        <v>20</v>
      </c>
      <c r="D495" s="4" t="s">
        <v>34</v>
      </c>
      <c r="E495" s="3" t="s">
        <v>16</v>
      </c>
      <c r="F495" s="5" t="n">
        <v>113</v>
      </c>
      <c r="G495" s="6" t="n">
        <v>6472.15</v>
      </c>
      <c r="H495" s="6" t="n">
        <f aca="false">F495*G495</f>
        <v>731352.95</v>
      </c>
    </row>
    <row r="496" customFormat="false" ht="15" hidden="false" customHeight="false" outlineLevel="0" collapsed="false">
      <c r="A496" s="3" t="s">
        <v>532</v>
      </c>
      <c r="B496" s="3" t="s">
        <v>514</v>
      </c>
      <c r="C496" s="3" t="n">
        <v>20</v>
      </c>
      <c r="D496" s="4" t="s">
        <v>34</v>
      </c>
      <c r="E496" s="3" t="s">
        <v>18</v>
      </c>
      <c r="F496" s="5" t="n">
        <v>117</v>
      </c>
      <c r="G496" s="6" t="n">
        <v>6113.59</v>
      </c>
      <c r="H496" s="6" t="n">
        <f aca="false">F496*G496</f>
        <v>715290.03</v>
      </c>
    </row>
    <row r="497" customFormat="false" ht="15" hidden="false" customHeight="false" outlineLevel="0" collapsed="false">
      <c r="A497" s="3" t="s">
        <v>533</v>
      </c>
      <c r="B497" s="3" t="s">
        <v>514</v>
      </c>
      <c r="C497" s="3" t="n">
        <v>20</v>
      </c>
      <c r="D497" s="4" t="s">
        <v>34</v>
      </c>
      <c r="E497" s="3" t="s">
        <v>20</v>
      </c>
      <c r="F497" s="5" t="n">
        <v>96</v>
      </c>
      <c r="G497" s="6" t="n">
        <v>6075.38</v>
      </c>
      <c r="H497" s="6" t="n">
        <f aca="false">F497*G497</f>
        <v>583236.48</v>
      </c>
    </row>
    <row r="498" customFormat="false" ht="15" hidden="false" customHeight="false" outlineLevel="0" collapsed="false">
      <c r="A498" s="3" t="s">
        <v>534</v>
      </c>
      <c r="B498" s="3" t="s">
        <v>514</v>
      </c>
      <c r="C498" s="3" t="n">
        <v>20</v>
      </c>
      <c r="D498" s="4" t="s">
        <v>40</v>
      </c>
      <c r="E498" s="3" t="s">
        <v>12</v>
      </c>
      <c r="F498" s="5" t="n">
        <v>138</v>
      </c>
      <c r="G498" s="6" t="n">
        <v>3105.04</v>
      </c>
      <c r="H498" s="6" t="n">
        <f aca="false">F498*G498</f>
        <v>428495.52</v>
      </c>
    </row>
    <row r="499" customFormat="false" ht="15" hidden="false" customHeight="false" outlineLevel="0" collapsed="false">
      <c r="A499" s="3" t="s">
        <v>535</v>
      </c>
      <c r="B499" s="3" t="s">
        <v>514</v>
      </c>
      <c r="C499" s="3" t="n">
        <v>20</v>
      </c>
      <c r="D499" s="4" t="s">
        <v>40</v>
      </c>
      <c r="E499" s="3" t="s">
        <v>14</v>
      </c>
      <c r="F499" s="5" t="n">
        <v>121</v>
      </c>
      <c r="G499" s="6" t="n">
        <v>3167.67</v>
      </c>
      <c r="H499" s="6" t="n">
        <f aca="false">F499*G499</f>
        <v>383288.07</v>
      </c>
    </row>
    <row r="500" customFormat="false" ht="15" hidden="false" customHeight="false" outlineLevel="0" collapsed="false">
      <c r="A500" s="3" t="s">
        <v>536</v>
      </c>
      <c r="B500" s="3" t="s">
        <v>514</v>
      </c>
      <c r="C500" s="3" t="n">
        <v>20</v>
      </c>
      <c r="D500" s="4" t="s">
        <v>40</v>
      </c>
      <c r="E500" s="3" t="s">
        <v>16</v>
      </c>
      <c r="F500" s="5" t="n">
        <v>143</v>
      </c>
      <c r="G500" s="6" t="n">
        <v>3215.81</v>
      </c>
      <c r="H500" s="6" t="n">
        <f aca="false">F500*G500</f>
        <v>459860.83</v>
      </c>
    </row>
    <row r="501" customFormat="false" ht="15" hidden="false" customHeight="false" outlineLevel="0" collapsed="false">
      <c r="A501" s="3" t="s">
        <v>537</v>
      </c>
      <c r="B501" s="3" t="s">
        <v>514</v>
      </c>
      <c r="C501" s="3" t="n">
        <v>20</v>
      </c>
      <c r="D501" s="4" t="s">
        <v>40</v>
      </c>
      <c r="E501" s="3" t="s">
        <v>18</v>
      </c>
      <c r="F501" s="5" t="n">
        <v>101</v>
      </c>
      <c r="G501" s="6" t="n">
        <v>3105.69</v>
      </c>
      <c r="H501" s="6" t="n">
        <f aca="false">F501*G501</f>
        <v>313674.69</v>
      </c>
    </row>
    <row r="502" customFormat="false" ht="15" hidden="false" customHeight="false" outlineLevel="0" collapsed="false">
      <c r="A502" s="3" t="s">
        <v>538</v>
      </c>
      <c r="B502" s="3" t="s">
        <v>514</v>
      </c>
      <c r="C502" s="3" t="n">
        <v>20</v>
      </c>
      <c r="D502" s="4" t="s">
        <v>40</v>
      </c>
      <c r="E502" s="3" t="s">
        <v>20</v>
      </c>
      <c r="F502" s="5" t="n">
        <v>94</v>
      </c>
      <c r="G502" s="6" t="n">
        <v>3101.95</v>
      </c>
      <c r="H502" s="6" t="n">
        <f aca="false">F502*G502</f>
        <v>291583.3</v>
      </c>
    </row>
    <row r="503" customFormat="false" ht="15" hidden="false" customHeight="false" outlineLevel="0" collapsed="false">
      <c r="A503" s="3" t="s">
        <v>539</v>
      </c>
      <c r="B503" s="3" t="s">
        <v>540</v>
      </c>
      <c r="C503" s="3" t="n">
        <v>21</v>
      </c>
      <c r="D503" s="4" t="s">
        <v>11</v>
      </c>
      <c r="E503" s="3" t="s">
        <v>12</v>
      </c>
      <c r="F503" s="5" t="n">
        <v>148</v>
      </c>
      <c r="G503" s="6" t="n">
        <v>2680.35</v>
      </c>
      <c r="H503" s="6" t="n">
        <f aca="false">F503*G503</f>
        <v>396691.8</v>
      </c>
    </row>
    <row r="504" customFormat="false" ht="15" hidden="false" customHeight="false" outlineLevel="0" collapsed="false">
      <c r="A504" s="3" t="s">
        <v>541</v>
      </c>
      <c r="B504" s="3" t="s">
        <v>540</v>
      </c>
      <c r="C504" s="3" t="n">
        <v>21</v>
      </c>
      <c r="D504" s="4" t="s">
        <v>11</v>
      </c>
      <c r="E504" s="3" t="s">
        <v>14</v>
      </c>
      <c r="F504" s="5" t="n">
        <v>171</v>
      </c>
      <c r="G504" s="6" t="n">
        <v>2642.83</v>
      </c>
      <c r="H504" s="6" t="n">
        <f aca="false">F504*G504</f>
        <v>451923.93</v>
      </c>
    </row>
    <row r="505" customFormat="false" ht="15" hidden="false" customHeight="false" outlineLevel="0" collapsed="false">
      <c r="A505" s="3" t="s">
        <v>542</v>
      </c>
      <c r="B505" s="3" t="s">
        <v>540</v>
      </c>
      <c r="C505" s="3" t="n">
        <v>21</v>
      </c>
      <c r="D505" s="4" t="s">
        <v>11</v>
      </c>
      <c r="E505" s="3" t="s">
        <v>16</v>
      </c>
      <c r="F505" s="5" t="n">
        <v>149</v>
      </c>
      <c r="G505" s="6" t="n">
        <v>2592.83</v>
      </c>
      <c r="H505" s="6" t="n">
        <f aca="false">F505*G505</f>
        <v>386331.67</v>
      </c>
    </row>
    <row r="506" customFormat="false" ht="15" hidden="false" customHeight="false" outlineLevel="0" collapsed="false">
      <c r="A506" s="3" t="s">
        <v>543</v>
      </c>
      <c r="B506" s="3" t="s">
        <v>540</v>
      </c>
      <c r="C506" s="3" t="n">
        <v>21</v>
      </c>
      <c r="D506" s="4" t="s">
        <v>11</v>
      </c>
      <c r="E506" s="3" t="s">
        <v>18</v>
      </c>
      <c r="F506" s="5" t="n">
        <v>144</v>
      </c>
      <c r="G506" s="6" t="n">
        <v>2377.48</v>
      </c>
      <c r="H506" s="6" t="n">
        <f aca="false">F506*G506</f>
        <v>342357.12</v>
      </c>
    </row>
    <row r="507" customFormat="false" ht="15" hidden="false" customHeight="false" outlineLevel="0" collapsed="false">
      <c r="A507" s="3" t="s">
        <v>544</v>
      </c>
      <c r="B507" s="3" t="s">
        <v>540</v>
      </c>
      <c r="C507" s="3" t="n">
        <v>21</v>
      </c>
      <c r="D507" s="4" t="s">
        <v>11</v>
      </c>
      <c r="E507" s="3" t="s">
        <v>20</v>
      </c>
      <c r="F507" s="5" t="n">
        <v>117</v>
      </c>
      <c r="G507" s="6" t="n">
        <v>2496.75</v>
      </c>
      <c r="H507" s="6" t="n">
        <f aca="false">F507*G507</f>
        <v>292119.75</v>
      </c>
    </row>
    <row r="508" customFormat="false" ht="15" hidden="false" customHeight="false" outlineLevel="0" collapsed="false">
      <c r="A508" s="3" t="s">
        <v>545</v>
      </c>
      <c r="B508" s="3" t="s">
        <v>540</v>
      </c>
      <c r="C508" s="3" t="n">
        <v>21</v>
      </c>
      <c r="D508" s="4" t="s">
        <v>22</v>
      </c>
      <c r="E508" s="3" t="s">
        <v>12</v>
      </c>
      <c r="F508" s="5" t="n">
        <v>149</v>
      </c>
      <c r="G508" s="6" t="n">
        <v>4479.58</v>
      </c>
      <c r="H508" s="6" t="n">
        <f aca="false">F508*G508</f>
        <v>667457.42</v>
      </c>
    </row>
    <row r="509" customFormat="false" ht="15" hidden="false" customHeight="false" outlineLevel="0" collapsed="false">
      <c r="A509" s="3" t="s">
        <v>546</v>
      </c>
      <c r="B509" s="3" t="s">
        <v>540</v>
      </c>
      <c r="C509" s="3" t="n">
        <v>21</v>
      </c>
      <c r="D509" s="4" t="s">
        <v>22</v>
      </c>
      <c r="E509" s="3" t="s">
        <v>14</v>
      </c>
      <c r="F509" s="5" t="n">
        <v>168</v>
      </c>
      <c r="G509" s="6" t="n">
        <v>4393.79</v>
      </c>
      <c r="H509" s="6" t="n">
        <f aca="false">F509*G509</f>
        <v>738156.72</v>
      </c>
    </row>
    <row r="510" customFormat="false" ht="15" hidden="false" customHeight="false" outlineLevel="0" collapsed="false">
      <c r="A510" s="3" t="s">
        <v>547</v>
      </c>
      <c r="B510" s="3" t="s">
        <v>540</v>
      </c>
      <c r="C510" s="3" t="n">
        <v>21</v>
      </c>
      <c r="D510" s="4" t="s">
        <v>22</v>
      </c>
      <c r="E510" s="3" t="s">
        <v>16</v>
      </c>
      <c r="F510" s="5" t="n">
        <v>128</v>
      </c>
      <c r="G510" s="6" t="n">
        <v>3908.03</v>
      </c>
      <c r="H510" s="6" t="n">
        <f aca="false">F510*G510</f>
        <v>500227.84</v>
      </c>
    </row>
    <row r="511" customFormat="false" ht="15" hidden="false" customHeight="false" outlineLevel="0" collapsed="false">
      <c r="A511" s="3" t="s">
        <v>548</v>
      </c>
      <c r="B511" s="3" t="s">
        <v>540</v>
      </c>
      <c r="C511" s="3" t="n">
        <v>21</v>
      </c>
      <c r="D511" s="4" t="s">
        <v>22</v>
      </c>
      <c r="E511" s="3" t="s">
        <v>18</v>
      </c>
      <c r="F511" s="5" t="n">
        <v>109</v>
      </c>
      <c r="G511" s="6" t="n">
        <v>4372.15</v>
      </c>
      <c r="H511" s="6" t="n">
        <f aca="false">F511*G511</f>
        <v>476564.35</v>
      </c>
    </row>
    <row r="512" customFormat="false" ht="15" hidden="false" customHeight="false" outlineLevel="0" collapsed="false">
      <c r="A512" s="3" t="s">
        <v>549</v>
      </c>
      <c r="B512" s="3" t="s">
        <v>540</v>
      </c>
      <c r="C512" s="3" t="n">
        <v>21</v>
      </c>
      <c r="D512" s="4" t="s">
        <v>22</v>
      </c>
      <c r="E512" s="3" t="s">
        <v>20</v>
      </c>
      <c r="F512" s="5" t="n">
        <v>93</v>
      </c>
      <c r="G512" s="6" t="n">
        <v>4466.47</v>
      </c>
      <c r="H512" s="6" t="n">
        <f aca="false">F512*G512</f>
        <v>415381.71</v>
      </c>
    </row>
    <row r="513" customFormat="false" ht="15" hidden="false" customHeight="false" outlineLevel="0" collapsed="false">
      <c r="A513" s="3" t="s">
        <v>550</v>
      </c>
      <c r="B513" s="3" t="s">
        <v>540</v>
      </c>
      <c r="C513" s="3" t="n">
        <v>21</v>
      </c>
      <c r="D513" s="4" t="s">
        <v>28</v>
      </c>
      <c r="E513" s="3" t="s">
        <v>12</v>
      </c>
      <c r="F513" s="5" t="n">
        <v>148</v>
      </c>
      <c r="G513" s="6" t="n">
        <v>1890.9</v>
      </c>
      <c r="H513" s="6" t="n">
        <f aca="false">F513*G513</f>
        <v>279853.2</v>
      </c>
    </row>
    <row r="514" customFormat="false" ht="15" hidden="false" customHeight="false" outlineLevel="0" collapsed="false">
      <c r="A514" s="3" t="s">
        <v>551</v>
      </c>
      <c r="B514" s="3" t="s">
        <v>540</v>
      </c>
      <c r="C514" s="3" t="n">
        <v>21</v>
      </c>
      <c r="D514" s="4" t="s">
        <v>28</v>
      </c>
      <c r="E514" s="3" t="s">
        <v>14</v>
      </c>
      <c r="F514" s="5" t="n">
        <v>167</v>
      </c>
      <c r="G514" s="6" t="n">
        <v>1800.64</v>
      </c>
      <c r="H514" s="6" t="n">
        <f aca="false">F514*G514</f>
        <v>300706.88</v>
      </c>
    </row>
    <row r="515" customFormat="false" ht="15" hidden="false" customHeight="false" outlineLevel="0" collapsed="false">
      <c r="A515" s="3" t="s">
        <v>552</v>
      </c>
      <c r="B515" s="3" t="s">
        <v>540</v>
      </c>
      <c r="C515" s="3" t="n">
        <v>21</v>
      </c>
      <c r="D515" s="4" t="s">
        <v>28</v>
      </c>
      <c r="E515" s="3" t="s">
        <v>16</v>
      </c>
      <c r="F515" s="5" t="n">
        <v>124</v>
      </c>
      <c r="G515" s="6" t="n">
        <v>1716</v>
      </c>
      <c r="H515" s="6" t="n">
        <f aca="false">F515*G515</f>
        <v>212784</v>
      </c>
    </row>
    <row r="516" customFormat="false" ht="15" hidden="false" customHeight="false" outlineLevel="0" collapsed="false">
      <c r="A516" s="3" t="s">
        <v>553</v>
      </c>
      <c r="B516" s="3" t="s">
        <v>540</v>
      </c>
      <c r="C516" s="3" t="n">
        <v>21</v>
      </c>
      <c r="D516" s="4" t="s">
        <v>28</v>
      </c>
      <c r="E516" s="3" t="s">
        <v>18</v>
      </c>
      <c r="F516" s="5" t="n">
        <v>116</v>
      </c>
      <c r="G516" s="6" t="n">
        <v>1801.73</v>
      </c>
      <c r="H516" s="6" t="n">
        <f aca="false">F516*G516</f>
        <v>209000.68</v>
      </c>
    </row>
    <row r="517" customFormat="false" ht="15" hidden="false" customHeight="false" outlineLevel="0" collapsed="false">
      <c r="A517" s="3" t="s">
        <v>554</v>
      </c>
      <c r="B517" s="3" t="s">
        <v>540</v>
      </c>
      <c r="C517" s="3" t="n">
        <v>21</v>
      </c>
      <c r="D517" s="4" t="s">
        <v>28</v>
      </c>
      <c r="E517" s="3" t="s">
        <v>20</v>
      </c>
      <c r="F517" s="5" t="n">
        <v>90</v>
      </c>
      <c r="G517" s="6" t="n">
        <v>1666.61</v>
      </c>
      <c r="H517" s="6" t="n">
        <f aca="false">F517*G517</f>
        <v>149994.9</v>
      </c>
    </row>
    <row r="518" customFormat="false" ht="15" hidden="false" customHeight="false" outlineLevel="0" collapsed="false">
      <c r="A518" s="3" t="s">
        <v>555</v>
      </c>
      <c r="B518" s="3" t="s">
        <v>540</v>
      </c>
      <c r="C518" s="3" t="n">
        <v>21</v>
      </c>
      <c r="D518" s="4" t="s">
        <v>34</v>
      </c>
      <c r="E518" s="3" t="s">
        <v>12</v>
      </c>
      <c r="F518" s="5" t="n">
        <v>194</v>
      </c>
      <c r="G518" s="6" t="n">
        <v>6147.68</v>
      </c>
      <c r="H518" s="6" t="n">
        <f aca="false">F518*G518</f>
        <v>1192649.92</v>
      </c>
    </row>
    <row r="519" customFormat="false" ht="15" hidden="false" customHeight="false" outlineLevel="0" collapsed="false">
      <c r="A519" s="3" t="s">
        <v>556</v>
      </c>
      <c r="B519" s="3" t="s">
        <v>540</v>
      </c>
      <c r="C519" s="3" t="n">
        <v>21</v>
      </c>
      <c r="D519" s="4" t="s">
        <v>34</v>
      </c>
      <c r="E519" s="3" t="s">
        <v>14</v>
      </c>
      <c r="F519" s="5" t="n">
        <v>166</v>
      </c>
      <c r="G519" s="6" t="n">
        <v>6686.87</v>
      </c>
      <c r="H519" s="6" t="n">
        <f aca="false">F519*G519</f>
        <v>1110020.42</v>
      </c>
    </row>
    <row r="520" customFormat="false" ht="15" hidden="false" customHeight="false" outlineLevel="0" collapsed="false">
      <c r="A520" s="3" t="s">
        <v>557</v>
      </c>
      <c r="B520" s="3" t="s">
        <v>540</v>
      </c>
      <c r="C520" s="3" t="n">
        <v>21</v>
      </c>
      <c r="D520" s="4" t="s">
        <v>34</v>
      </c>
      <c r="E520" s="3" t="s">
        <v>16</v>
      </c>
      <c r="F520" s="5" t="n">
        <v>148</v>
      </c>
      <c r="G520" s="6" t="n">
        <v>6155.49</v>
      </c>
      <c r="H520" s="6" t="n">
        <f aca="false">F520*G520</f>
        <v>911012.52</v>
      </c>
    </row>
    <row r="521" customFormat="false" ht="15" hidden="false" customHeight="false" outlineLevel="0" collapsed="false">
      <c r="A521" s="3" t="s">
        <v>558</v>
      </c>
      <c r="B521" s="3" t="s">
        <v>540</v>
      </c>
      <c r="C521" s="3" t="n">
        <v>21</v>
      </c>
      <c r="D521" s="4" t="s">
        <v>34</v>
      </c>
      <c r="E521" s="3" t="s">
        <v>18</v>
      </c>
      <c r="F521" s="5" t="n">
        <v>125</v>
      </c>
      <c r="G521" s="6" t="n">
        <v>6099.68</v>
      </c>
      <c r="H521" s="6" t="n">
        <f aca="false">F521*G521</f>
        <v>762460</v>
      </c>
    </row>
    <row r="522" customFormat="false" ht="15" hidden="false" customHeight="false" outlineLevel="0" collapsed="false">
      <c r="A522" s="3" t="s">
        <v>559</v>
      </c>
      <c r="B522" s="3" t="s">
        <v>540</v>
      </c>
      <c r="C522" s="3" t="n">
        <v>21</v>
      </c>
      <c r="D522" s="4" t="s">
        <v>34</v>
      </c>
      <c r="E522" s="3" t="s">
        <v>20</v>
      </c>
      <c r="F522" s="5" t="n">
        <v>96</v>
      </c>
      <c r="G522" s="6" t="n">
        <v>6641.77</v>
      </c>
      <c r="H522" s="6" t="n">
        <f aca="false">F522*G522</f>
        <v>637609.92</v>
      </c>
    </row>
    <row r="523" customFormat="false" ht="15" hidden="false" customHeight="false" outlineLevel="0" collapsed="false">
      <c r="A523" s="3" t="s">
        <v>560</v>
      </c>
      <c r="B523" s="3" t="s">
        <v>540</v>
      </c>
      <c r="C523" s="3" t="n">
        <v>21</v>
      </c>
      <c r="D523" s="4" t="s">
        <v>40</v>
      </c>
      <c r="E523" s="3" t="s">
        <v>12</v>
      </c>
      <c r="F523" s="5" t="n">
        <v>172</v>
      </c>
      <c r="G523" s="6" t="n">
        <v>3284.98</v>
      </c>
      <c r="H523" s="6" t="n">
        <f aca="false">F523*G523</f>
        <v>565016.56</v>
      </c>
    </row>
    <row r="524" customFormat="false" ht="15" hidden="false" customHeight="false" outlineLevel="0" collapsed="false">
      <c r="A524" s="3" t="s">
        <v>561</v>
      </c>
      <c r="B524" s="3" t="s">
        <v>540</v>
      </c>
      <c r="C524" s="3" t="n">
        <v>21</v>
      </c>
      <c r="D524" s="4" t="s">
        <v>40</v>
      </c>
      <c r="E524" s="3" t="s">
        <v>14</v>
      </c>
      <c r="F524" s="5" t="n">
        <v>165</v>
      </c>
      <c r="G524" s="6" t="n">
        <v>3139.7</v>
      </c>
      <c r="H524" s="6" t="n">
        <f aca="false">F524*G524</f>
        <v>518050.5</v>
      </c>
    </row>
    <row r="525" customFormat="false" ht="15" hidden="false" customHeight="false" outlineLevel="0" collapsed="false">
      <c r="A525" s="3" t="s">
        <v>562</v>
      </c>
      <c r="B525" s="3" t="s">
        <v>540</v>
      </c>
      <c r="C525" s="3" t="n">
        <v>21</v>
      </c>
      <c r="D525" s="4" t="s">
        <v>40</v>
      </c>
      <c r="E525" s="3" t="s">
        <v>16</v>
      </c>
      <c r="F525" s="5" t="n">
        <v>158</v>
      </c>
      <c r="G525" s="6" t="n">
        <v>2903.89</v>
      </c>
      <c r="H525" s="6" t="n">
        <f aca="false">F525*G525</f>
        <v>458814.62</v>
      </c>
    </row>
    <row r="526" customFormat="false" ht="15" hidden="false" customHeight="false" outlineLevel="0" collapsed="false">
      <c r="A526" s="3" t="s">
        <v>563</v>
      </c>
      <c r="B526" s="3" t="s">
        <v>540</v>
      </c>
      <c r="C526" s="3" t="n">
        <v>21</v>
      </c>
      <c r="D526" s="4" t="s">
        <v>40</v>
      </c>
      <c r="E526" s="3" t="s">
        <v>18</v>
      </c>
      <c r="F526" s="5" t="n">
        <v>119</v>
      </c>
      <c r="G526" s="6" t="n">
        <v>3164.37</v>
      </c>
      <c r="H526" s="6" t="n">
        <f aca="false">F526*G526</f>
        <v>376560.03</v>
      </c>
    </row>
    <row r="527" customFormat="false" ht="15" hidden="false" customHeight="false" outlineLevel="0" collapsed="false">
      <c r="A527" s="3" t="s">
        <v>564</v>
      </c>
      <c r="B527" s="3" t="s">
        <v>540</v>
      </c>
      <c r="C527" s="3" t="n">
        <v>21</v>
      </c>
      <c r="D527" s="4" t="s">
        <v>40</v>
      </c>
      <c r="E527" s="3" t="s">
        <v>20</v>
      </c>
      <c r="F527" s="5" t="n">
        <v>93</v>
      </c>
      <c r="G527" s="6" t="n">
        <v>3247.64</v>
      </c>
      <c r="H527" s="6" t="n">
        <f aca="false">F527*G527</f>
        <v>302030.52</v>
      </c>
    </row>
    <row r="528" customFormat="false" ht="15" hidden="false" customHeight="false" outlineLevel="0" collapsed="false">
      <c r="A528" s="3" t="s">
        <v>565</v>
      </c>
      <c r="B528" s="3" t="s">
        <v>566</v>
      </c>
      <c r="C528" s="3" t="n">
        <v>22</v>
      </c>
      <c r="D528" s="4" t="s">
        <v>11</v>
      </c>
      <c r="E528" s="3" t="s">
        <v>12</v>
      </c>
      <c r="F528" s="5" t="n">
        <v>178</v>
      </c>
      <c r="G528" s="6" t="n">
        <v>2696.2</v>
      </c>
      <c r="H528" s="6" t="n">
        <f aca="false">F528*G528</f>
        <v>479923.6</v>
      </c>
    </row>
    <row r="529" customFormat="false" ht="15" hidden="false" customHeight="false" outlineLevel="0" collapsed="false">
      <c r="A529" s="3" t="s">
        <v>567</v>
      </c>
      <c r="B529" s="3" t="s">
        <v>566</v>
      </c>
      <c r="C529" s="3" t="n">
        <v>22</v>
      </c>
      <c r="D529" s="4" t="s">
        <v>11</v>
      </c>
      <c r="E529" s="3" t="s">
        <v>14</v>
      </c>
      <c r="F529" s="5" t="n">
        <v>164</v>
      </c>
      <c r="G529" s="6" t="n">
        <v>2444.1</v>
      </c>
      <c r="H529" s="6" t="n">
        <f aca="false">F529*G529</f>
        <v>400832.4</v>
      </c>
    </row>
    <row r="530" customFormat="false" ht="15" hidden="false" customHeight="false" outlineLevel="0" collapsed="false">
      <c r="A530" s="3" t="s">
        <v>568</v>
      </c>
      <c r="B530" s="3" t="s">
        <v>566</v>
      </c>
      <c r="C530" s="3" t="n">
        <v>22</v>
      </c>
      <c r="D530" s="4" t="s">
        <v>11</v>
      </c>
      <c r="E530" s="3" t="s">
        <v>16</v>
      </c>
      <c r="F530" s="5" t="n">
        <v>124</v>
      </c>
      <c r="G530" s="6" t="n">
        <v>2476.91</v>
      </c>
      <c r="H530" s="6" t="n">
        <f aca="false">F530*G530</f>
        <v>307136.84</v>
      </c>
    </row>
    <row r="531" customFormat="false" ht="15" hidden="false" customHeight="false" outlineLevel="0" collapsed="false">
      <c r="A531" s="3" t="s">
        <v>569</v>
      </c>
      <c r="B531" s="3" t="s">
        <v>566</v>
      </c>
      <c r="C531" s="3" t="n">
        <v>22</v>
      </c>
      <c r="D531" s="4" t="s">
        <v>11</v>
      </c>
      <c r="E531" s="3" t="s">
        <v>18</v>
      </c>
      <c r="F531" s="5" t="n">
        <v>108</v>
      </c>
      <c r="G531" s="6" t="n">
        <v>2597.44</v>
      </c>
      <c r="H531" s="6" t="n">
        <f aca="false">F531*G531</f>
        <v>280523.52</v>
      </c>
    </row>
    <row r="532" customFormat="false" ht="15" hidden="false" customHeight="false" outlineLevel="0" collapsed="false">
      <c r="A532" s="3" t="s">
        <v>570</v>
      </c>
      <c r="B532" s="3" t="s">
        <v>566</v>
      </c>
      <c r="C532" s="3" t="n">
        <v>22</v>
      </c>
      <c r="D532" s="4" t="s">
        <v>11</v>
      </c>
      <c r="E532" s="3" t="s">
        <v>20</v>
      </c>
      <c r="F532" s="5" t="n">
        <v>95</v>
      </c>
      <c r="G532" s="6" t="n">
        <v>2627.93</v>
      </c>
      <c r="H532" s="6" t="n">
        <f aca="false">F532*G532</f>
        <v>249653.35</v>
      </c>
    </row>
    <row r="533" customFormat="false" ht="15" hidden="false" customHeight="false" outlineLevel="0" collapsed="false">
      <c r="A533" s="3" t="s">
        <v>571</v>
      </c>
      <c r="B533" s="3" t="s">
        <v>566</v>
      </c>
      <c r="C533" s="3" t="n">
        <v>22</v>
      </c>
      <c r="D533" s="4" t="s">
        <v>22</v>
      </c>
      <c r="E533" s="3" t="s">
        <v>12</v>
      </c>
      <c r="F533" s="5" t="n">
        <v>203</v>
      </c>
      <c r="G533" s="6" t="n">
        <v>4293.57</v>
      </c>
      <c r="H533" s="6" t="n">
        <f aca="false">F533*G533</f>
        <v>871594.71</v>
      </c>
    </row>
    <row r="534" customFormat="false" ht="15" hidden="false" customHeight="false" outlineLevel="0" collapsed="false">
      <c r="A534" s="3" t="s">
        <v>572</v>
      </c>
      <c r="B534" s="3" t="s">
        <v>566</v>
      </c>
      <c r="C534" s="3" t="n">
        <v>22</v>
      </c>
      <c r="D534" s="4" t="s">
        <v>22</v>
      </c>
      <c r="E534" s="3" t="s">
        <v>14</v>
      </c>
      <c r="F534" s="5" t="n">
        <v>159</v>
      </c>
      <c r="G534" s="6" t="n">
        <v>4257.7</v>
      </c>
      <c r="H534" s="6" t="n">
        <f aca="false">F534*G534</f>
        <v>676974.3</v>
      </c>
    </row>
    <row r="535" customFormat="false" ht="15" hidden="false" customHeight="false" outlineLevel="0" collapsed="false">
      <c r="A535" s="3" t="s">
        <v>573</v>
      </c>
      <c r="B535" s="3" t="s">
        <v>566</v>
      </c>
      <c r="C535" s="3" t="n">
        <v>22</v>
      </c>
      <c r="D535" s="4" t="s">
        <v>22</v>
      </c>
      <c r="E535" s="3" t="s">
        <v>16</v>
      </c>
      <c r="F535" s="5" t="n">
        <v>115</v>
      </c>
      <c r="G535" s="6" t="n">
        <v>4074.1</v>
      </c>
      <c r="H535" s="6" t="n">
        <f aca="false">F535*G535</f>
        <v>468521.5</v>
      </c>
    </row>
    <row r="536" customFormat="false" ht="15" hidden="false" customHeight="false" outlineLevel="0" collapsed="false">
      <c r="A536" s="3" t="s">
        <v>574</v>
      </c>
      <c r="B536" s="3" t="s">
        <v>566</v>
      </c>
      <c r="C536" s="3" t="n">
        <v>22</v>
      </c>
      <c r="D536" s="4" t="s">
        <v>22</v>
      </c>
      <c r="E536" s="3" t="s">
        <v>18</v>
      </c>
      <c r="F536" s="5" t="n">
        <v>112</v>
      </c>
      <c r="G536" s="6" t="n">
        <v>3886.71</v>
      </c>
      <c r="H536" s="6" t="n">
        <f aca="false">F536*G536</f>
        <v>435311.52</v>
      </c>
    </row>
    <row r="537" customFormat="false" ht="15" hidden="false" customHeight="false" outlineLevel="0" collapsed="false">
      <c r="A537" s="3" t="s">
        <v>575</v>
      </c>
      <c r="B537" s="3" t="s">
        <v>566</v>
      </c>
      <c r="C537" s="3" t="n">
        <v>22</v>
      </c>
      <c r="D537" s="4" t="s">
        <v>22</v>
      </c>
      <c r="E537" s="3" t="s">
        <v>20</v>
      </c>
      <c r="F537" s="5" t="n">
        <v>102</v>
      </c>
      <c r="G537" s="6" t="n">
        <v>4277.99</v>
      </c>
      <c r="H537" s="6" t="n">
        <f aca="false">F537*G537</f>
        <v>436354.98</v>
      </c>
    </row>
    <row r="538" customFormat="false" ht="15" hidden="false" customHeight="false" outlineLevel="0" collapsed="false">
      <c r="A538" s="3" t="s">
        <v>576</v>
      </c>
      <c r="B538" s="3" t="s">
        <v>566</v>
      </c>
      <c r="C538" s="3" t="n">
        <v>22</v>
      </c>
      <c r="D538" s="4" t="s">
        <v>28</v>
      </c>
      <c r="E538" s="3" t="s">
        <v>12</v>
      </c>
      <c r="F538" s="5" t="n">
        <v>197</v>
      </c>
      <c r="G538" s="6" t="n">
        <v>1803.65</v>
      </c>
      <c r="H538" s="6" t="n">
        <f aca="false">F538*G538</f>
        <v>355319.05</v>
      </c>
    </row>
    <row r="539" customFormat="false" ht="15" hidden="false" customHeight="false" outlineLevel="0" collapsed="false">
      <c r="A539" s="3" t="s">
        <v>577</v>
      </c>
      <c r="B539" s="3" t="s">
        <v>566</v>
      </c>
      <c r="C539" s="3" t="n">
        <v>22</v>
      </c>
      <c r="D539" s="4" t="s">
        <v>28</v>
      </c>
      <c r="E539" s="3" t="s">
        <v>14</v>
      </c>
      <c r="F539" s="5" t="n">
        <v>136</v>
      </c>
      <c r="G539" s="6" t="n">
        <v>1694.02</v>
      </c>
      <c r="H539" s="6" t="n">
        <f aca="false">F539*G539</f>
        <v>230386.72</v>
      </c>
    </row>
    <row r="540" customFormat="false" ht="15" hidden="false" customHeight="false" outlineLevel="0" collapsed="false">
      <c r="A540" s="3" t="s">
        <v>578</v>
      </c>
      <c r="B540" s="3" t="s">
        <v>566</v>
      </c>
      <c r="C540" s="3" t="n">
        <v>22</v>
      </c>
      <c r="D540" s="4" t="s">
        <v>28</v>
      </c>
      <c r="E540" s="3" t="s">
        <v>16</v>
      </c>
      <c r="F540" s="5" t="n">
        <v>116</v>
      </c>
      <c r="G540" s="6" t="n">
        <v>1844.1</v>
      </c>
      <c r="H540" s="6" t="n">
        <f aca="false">F540*G540</f>
        <v>213915.6</v>
      </c>
    </row>
    <row r="541" customFormat="false" ht="15" hidden="false" customHeight="false" outlineLevel="0" collapsed="false">
      <c r="A541" s="3" t="s">
        <v>579</v>
      </c>
      <c r="B541" s="3" t="s">
        <v>566</v>
      </c>
      <c r="C541" s="3" t="n">
        <v>22</v>
      </c>
      <c r="D541" s="4" t="s">
        <v>28</v>
      </c>
      <c r="E541" s="3" t="s">
        <v>18</v>
      </c>
      <c r="F541" s="5" t="n">
        <v>121</v>
      </c>
      <c r="G541" s="6" t="n">
        <v>1656.75</v>
      </c>
      <c r="H541" s="6" t="n">
        <f aca="false">F541*G541</f>
        <v>200466.75</v>
      </c>
    </row>
    <row r="542" customFormat="false" ht="15" hidden="false" customHeight="false" outlineLevel="0" collapsed="false">
      <c r="A542" s="3" t="s">
        <v>580</v>
      </c>
      <c r="B542" s="3" t="s">
        <v>566</v>
      </c>
      <c r="C542" s="3" t="n">
        <v>22</v>
      </c>
      <c r="D542" s="4" t="s">
        <v>28</v>
      </c>
      <c r="E542" s="3" t="s">
        <v>20</v>
      </c>
      <c r="F542" s="5" t="n">
        <v>99</v>
      </c>
      <c r="G542" s="6" t="n">
        <v>1686.63</v>
      </c>
      <c r="H542" s="6" t="n">
        <f aca="false">F542*G542</f>
        <v>166976.37</v>
      </c>
    </row>
    <row r="543" customFormat="false" ht="15" hidden="false" customHeight="false" outlineLevel="0" collapsed="false">
      <c r="A543" s="3" t="s">
        <v>581</v>
      </c>
      <c r="B543" s="3" t="s">
        <v>566</v>
      </c>
      <c r="C543" s="3" t="n">
        <v>22</v>
      </c>
      <c r="D543" s="4" t="s">
        <v>34</v>
      </c>
      <c r="E543" s="3" t="s">
        <v>12</v>
      </c>
      <c r="F543" s="5" t="n">
        <v>179</v>
      </c>
      <c r="G543" s="6" t="n">
        <v>6213.23</v>
      </c>
      <c r="H543" s="6" t="n">
        <f aca="false">F543*G543</f>
        <v>1112168.17</v>
      </c>
    </row>
    <row r="544" customFormat="false" ht="15" hidden="false" customHeight="false" outlineLevel="0" collapsed="false">
      <c r="A544" s="3" t="s">
        <v>582</v>
      </c>
      <c r="B544" s="3" t="s">
        <v>566</v>
      </c>
      <c r="C544" s="3" t="n">
        <v>22</v>
      </c>
      <c r="D544" s="4" t="s">
        <v>34</v>
      </c>
      <c r="E544" s="3" t="s">
        <v>14</v>
      </c>
      <c r="F544" s="5" t="n">
        <v>135</v>
      </c>
      <c r="G544" s="6" t="n">
        <v>6592.66</v>
      </c>
      <c r="H544" s="6" t="n">
        <f aca="false">F544*G544</f>
        <v>890009.1</v>
      </c>
    </row>
    <row r="545" customFormat="false" ht="15" hidden="false" customHeight="false" outlineLevel="0" collapsed="false">
      <c r="A545" s="3" t="s">
        <v>583</v>
      </c>
      <c r="B545" s="3" t="s">
        <v>566</v>
      </c>
      <c r="C545" s="3" t="n">
        <v>22</v>
      </c>
      <c r="D545" s="4" t="s">
        <v>34</v>
      </c>
      <c r="E545" s="3" t="s">
        <v>16</v>
      </c>
      <c r="F545" s="5" t="n">
        <v>138</v>
      </c>
      <c r="G545" s="6" t="n">
        <v>6628.89</v>
      </c>
      <c r="H545" s="6" t="n">
        <f aca="false">F545*G545</f>
        <v>914786.82</v>
      </c>
    </row>
    <row r="546" customFormat="false" ht="15" hidden="false" customHeight="false" outlineLevel="0" collapsed="false">
      <c r="A546" s="3" t="s">
        <v>584</v>
      </c>
      <c r="B546" s="3" t="s">
        <v>566</v>
      </c>
      <c r="C546" s="3" t="n">
        <v>22</v>
      </c>
      <c r="D546" s="4" t="s">
        <v>34</v>
      </c>
      <c r="E546" s="3" t="s">
        <v>18</v>
      </c>
      <c r="F546" s="5" t="n">
        <v>146</v>
      </c>
      <c r="G546" s="6" t="n">
        <v>6120.14</v>
      </c>
      <c r="H546" s="6" t="n">
        <f aca="false">F546*G546</f>
        <v>893540.44</v>
      </c>
    </row>
    <row r="547" customFormat="false" ht="15" hidden="false" customHeight="false" outlineLevel="0" collapsed="false">
      <c r="A547" s="3" t="s">
        <v>585</v>
      </c>
      <c r="B547" s="3" t="s">
        <v>566</v>
      </c>
      <c r="C547" s="3" t="n">
        <v>22</v>
      </c>
      <c r="D547" s="4" t="s">
        <v>34</v>
      </c>
      <c r="E547" s="3" t="s">
        <v>20</v>
      </c>
      <c r="F547" s="5" t="n">
        <v>92</v>
      </c>
      <c r="G547" s="6" t="n">
        <v>6233.33</v>
      </c>
      <c r="H547" s="6" t="n">
        <f aca="false">F547*G547</f>
        <v>573466.36</v>
      </c>
    </row>
    <row r="548" customFormat="false" ht="15" hidden="false" customHeight="false" outlineLevel="0" collapsed="false">
      <c r="A548" s="3" t="s">
        <v>586</v>
      </c>
      <c r="B548" s="3" t="s">
        <v>566</v>
      </c>
      <c r="C548" s="3" t="n">
        <v>22</v>
      </c>
      <c r="D548" s="4" t="s">
        <v>40</v>
      </c>
      <c r="E548" s="3" t="s">
        <v>12</v>
      </c>
      <c r="F548" s="5" t="n">
        <v>182</v>
      </c>
      <c r="G548" s="6" t="n">
        <v>2899.52</v>
      </c>
      <c r="H548" s="6" t="n">
        <f aca="false">F548*G548</f>
        <v>527712.64</v>
      </c>
    </row>
    <row r="549" customFormat="false" ht="15" hidden="false" customHeight="false" outlineLevel="0" collapsed="false">
      <c r="A549" s="3" t="s">
        <v>587</v>
      </c>
      <c r="B549" s="3" t="s">
        <v>566</v>
      </c>
      <c r="C549" s="3" t="n">
        <v>22</v>
      </c>
      <c r="D549" s="4" t="s">
        <v>40</v>
      </c>
      <c r="E549" s="3" t="s">
        <v>14</v>
      </c>
      <c r="F549" s="5" t="n">
        <v>165</v>
      </c>
      <c r="G549" s="6" t="n">
        <v>3284.16</v>
      </c>
      <c r="H549" s="6" t="n">
        <f aca="false">F549*G549</f>
        <v>541886.4</v>
      </c>
    </row>
    <row r="550" customFormat="false" ht="15" hidden="false" customHeight="false" outlineLevel="0" collapsed="false">
      <c r="A550" s="3" t="s">
        <v>588</v>
      </c>
      <c r="B550" s="3" t="s">
        <v>566</v>
      </c>
      <c r="C550" s="3" t="n">
        <v>22</v>
      </c>
      <c r="D550" s="4" t="s">
        <v>40</v>
      </c>
      <c r="E550" s="3" t="s">
        <v>16</v>
      </c>
      <c r="F550" s="5" t="n">
        <v>128</v>
      </c>
      <c r="G550" s="6" t="n">
        <v>3051.37</v>
      </c>
      <c r="H550" s="6" t="n">
        <f aca="false">F550*G550</f>
        <v>390575.36</v>
      </c>
    </row>
    <row r="551" customFormat="false" ht="15" hidden="false" customHeight="false" outlineLevel="0" collapsed="false">
      <c r="A551" s="3" t="s">
        <v>589</v>
      </c>
      <c r="B551" s="3" t="s">
        <v>566</v>
      </c>
      <c r="C551" s="3" t="n">
        <v>22</v>
      </c>
      <c r="D551" s="4" t="s">
        <v>40</v>
      </c>
      <c r="E551" s="3" t="s">
        <v>18</v>
      </c>
      <c r="F551" s="5" t="n">
        <v>134</v>
      </c>
      <c r="G551" s="6" t="n">
        <v>2857.7</v>
      </c>
      <c r="H551" s="6" t="n">
        <f aca="false">F551*G551</f>
        <v>382931.8</v>
      </c>
    </row>
    <row r="552" customFormat="false" ht="15" hidden="false" customHeight="false" outlineLevel="0" collapsed="false">
      <c r="A552" s="3" t="s">
        <v>590</v>
      </c>
      <c r="B552" s="3" t="s">
        <v>566</v>
      </c>
      <c r="C552" s="3" t="n">
        <v>22</v>
      </c>
      <c r="D552" s="4" t="s">
        <v>40</v>
      </c>
      <c r="E552" s="3" t="s">
        <v>20</v>
      </c>
      <c r="F552" s="5" t="n">
        <v>99</v>
      </c>
      <c r="G552" s="6" t="n">
        <v>3130.92</v>
      </c>
      <c r="H552" s="6" t="n">
        <f aca="false">F552*G552</f>
        <v>309961.08</v>
      </c>
    </row>
    <row r="553" customFormat="false" ht="15" hidden="false" customHeight="false" outlineLevel="0" collapsed="false">
      <c r="A553" s="3" t="s">
        <v>591</v>
      </c>
      <c r="B553" s="3" t="s">
        <v>592</v>
      </c>
      <c r="C553" s="3" t="n">
        <v>23</v>
      </c>
      <c r="D553" s="4" t="s">
        <v>11</v>
      </c>
      <c r="E553" s="3" t="s">
        <v>12</v>
      </c>
      <c r="F553" s="5" t="n">
        <v>175</v>
      </c>
      <c r="G553" s="6" t="n">
        <v>2558.24</v>
      </c>
      <c r="H553" s="6" t="n">
        <f aca="false">F553*G553</f>
        <v>447692</v>
      </c>
    </row>
    <row r="554" customFormat="false" ht="15" hidden="false" customHeight="false" outlineLevel="0" collapsed="false">
      <c r="A554" s="3" t="s">
        <v>593</v>
      </c>
      <c r="B554" s="3" t="s">
        <v>592</v>
      </c>
      <c r="C554" s="3" t="n">
        <v>23</v>
      </c>
      <c r="D554" s="4" t="s">
        <v>11</v>
      </c>
      <c r="E554" s="3" t="s">
        <v>14</v>
      </c>
      <c r="F554" s="5" t="n">
        <v>167</v>
      </c>
      <c r="G554" s="6" t="n">
        <v>2674.86</v>
      </c>
      <c r="H554" s="6" t="n">
        <f aca="false">F554*G554</f>
        <v>446701.62</v>
      </c>
    </row>
    <row r="555" customFormat="false" ht="15" hidden="false" customHeight="false" outlineLevel="0" collapsed="false">
      <c r="A555" s="3" t="s">
        <v>594</v>
      </c>
      <c r="B555" s="3" t="s">
        <v>592</v>
      </c>
      <c r="C555" s="3" t="n">
        <v>23</v>
      </c>
      <c r="D555" s="4" t="s">
        <v>11</v>
      </c>
      <c r="E555" s="3" t="s">
        <v>16</v>
      </c>
      <c r="F555" s="5" t="n">
        <v>163</v>
      </c>
      <c r="G555" s="6" t="n">
        <v>2399.4</v>
      </c>
      <c r="H555" s="6" t="n">
        <f aca="false">F555*G555</f>
        <v>391102.2</v>
      </c>
    </row>
    <row r="556" customFormat="false" ht="15" hidden="false" customHeight="false" outlineLevel="0" collapsed="false">
      <c r="A556" s="3" t="s">
        <v>595</v>
      </c>
      <c r="B556" s="3" t="s">
        <v>592</v>
      </c>
      <c r="C556" s="3" t="n">
        <v>23</v>
      </c>
      <c r="D556" s="4" t="s">
        <v>11</v>
      </c>
      <c r="E556" s="3" t="s">
        <v>18</v>
      </c>
      <c r="F556" s="5" t="n">
        <v>132</v>
      </c>
      <c r="G556" s="6" t="n">
        <v>2317.6</v>
      </c>
      <c r="H556" s="6" t="n">
        <f aca="false">F556*G556</f>
        <v>305923.2</v>
      </c>
    </row>
    <row r="557" customFormat="false" ht="15" hidden="false" customHeight="false" outlineLevel="0" collapsed="false">
      <c r="A557" s="3" t="s">
        <v>596</v>
      </c>
      <c r="B557" s="3" t="s">
        <v>592</v>
      </c>
      <c r="C557" s="3" t="n">
        <v>23</v>
      </c>
      <c r="D557" s="4" t="s">
        <v>11</v>
      </c>
      <c r="E557" s="3" t="s">
        <v>20</v>
      </c>
      <c r="F557" s="5" t="n">
        <v>97</v>
      </c>
      <c r="G557" s="6" t="n">
        <v>2462.4</v>
      </c>
      <c r="H557" s="6" t="n">
        <f aca="false">F557*G557</f>
        <v>238852.8</v>
      </c>
    </row>
    <row r="558" customFormat="false" ht="15" hidden="false" customHeight="false" outlineLevel="0" collapsed="false">
      <c r="A558" s="3" t="s">
        <v>597</v>
      </c>
      <c r="B558" s="3" t="s">
        <v>592</v>
      </c>
      <c r="C558" s="3" t="n">
        <v>23</v>
      </c>
      <c r="D558" s="4" t="s">
        <v>22</v>
      </c>
      <c r="E558" s="3" t="s">
        <v>12</v>
      </c>
      <c r="F558" s="5" t="n">
        <v>196</v>
      </c>
      <c r="G558" s="6" t="n">
        <v>3903.23</v>
      </c>
      <c r="H558" s="6" t="n">
        <f aca="false">F558*G558</f>
        <v>765033.08</v>
      </c>
    </row>
    <row r="559" customFormat="false" ht="15" hidden="false" customHeight="false" outlineLevel="0" collapsed="false">
      <c r="A559" s="3" t="s">
        <v>598</v>
      </c>
      <c r="B559" s="3" t="s">
        <v>592</v>
      </c>
      <c r="C559" s="3" t="n">
        <v>23</v>
      </c>
      <c r="D559" s="4" t="s">
        <v>22</v>
      </c>
      <c r="E559" s="3" t="s">
        <v>14</v>
      </c>
      <c r="F559" s="5" t="n">
        <v>158</v>
      </c>
      <c r="G559" s="6" t="n">
        <v>3872.3</v>
      </c>
      <c r="H559" s="6" t="n">
        <f aca="false">F559*G559</f>
        <v>611823.4</v>
      </c>
    </row>
    <row r="560" customFormat="false" ht="15" hidden="false" customHeight="false" outlineLevel="0" collapsed="false">
      <c r="A560" s="3" t="s">
        <v>599</v>
      </c>
      <c r="B560" s="3" t="s">
        <v>592</v>
      </c>
      <c r="C560" s="3" t="n">
        <v>23</v>
      </c>
      <c r="D560" s="4" t="s">
        <v>22</v>
      </c>
      <c r="E560" s="3" t="s">
        <v>16</v>
      </c>
      <c r="F560" s="5" t="n">
        <v>125</v>
      </c>
      <c r="G560" s="6" t="n">
        <v>4496.3</v>
      </c>
      <c r="H560" s="6" t="n">
        <f aca="false">F560*G560</f>
        <v>562037.5</v>
      </c>
    </row>
    <row r="561" customFormat="false" ht="15" hidden="false" customHeight="false" outlineLevel="0" collapsed="false">
      <c r="A561" s="3" t="s">
        <v>600</v>
      </c>
      <c r="B561" s="3" t="s">
        <v>592</v>
      </c>
      <c r="C561" s="3" t="n">
        <v>23</v>
      </c>
      <c r="D561" s="4" t="s">
        <v>22</v>
      </c>
      <c r="E561" s="3" t="s">
        <v>18</v>
      </c>
      <c r="F561" s="5" t="n">
        <v>136</v>
      </c>
      <c r="G561" s="6" t="n">
        <v>3998.08</v>
      </c>
      <c r="H561" s="6" t="n">
        <f aca="false">F561*G561</f>
        <v>543738.88</v>
      </c>
    </row>
    <row r="562" customFormat="false" ht="15" hidden="false" customHeight="false" outlineLevel="0" collapsed="false">
      <c r="A562" s="3" t="s">
        <v>601</v>
      </c>
      <c r="B562" s="3" t="s">
        <v>592</v>
      </c>
      <c r="C562" s="3" t="n">
        <v>23</v>
      </c>
      <c r="D562" s="4" t="s">
        <v>22</v>
      </c>
      <c r="E562" s="3" t="s">
        <v>20</v>
      </c>
      <c r="F562" s="5" t="n">
        <v>112</v>
      </c>
      <c r="G562" s="6" t="n">
        <v>4204.67</v>
      </c>
      <c r="H562" s="6" t="n">
        <f aca="false">F562*G562</f>
        <v>470923.04</v>
      </c>
    </row>
    <row r="563" customFormat="false" ht="15" hidden="false" customHeight="false" outlineLevel="0" collapsed="false">
      <c r="A563" s="3" t="s">
        <v>602</v>
      </c>
      <c r="B563" s="3" t="s">
        <v>592</v>
      </c>
      <c r="C563" s="3" t="n">
        <v>23</v>
      </c>
      <c r="D563" s="4" t="s">
        <v>28</v>
      </c>
      <c r="E563" s="3" t="s">
        <v>12</v>
      </c>
      <c r="F563" s="5" t="n">
        <v>159</v>
      </c>
      <c r="G563" s="6" t="n">
        <v>1890.25</v>
      </c>
      <c r="H563" s="6" t="n">
        <f aca="false">F563*G563</f>
        <v>300549.75</v>
      </c>
    </row>
    <row r="564" customFormat="false" ht="15" hidden="false" customHeight="false" outlineLevel="0" collapsed="false">
      <c r="A564" s="3" t="s">
        <v>603</v>
      </c>
      <c r="B564" s="3" t="s">
        <v>592</v>
      </c>
      <c r="C564" s="3" t="n">
        <v>23</v>
      </c>
      <c r="D564" s="4" t="s">
        <v>28</v>
      </c>
      <c r="E564" s="3" t="s">
        <v>14</v>
      </c>
      <c r="F564" s="5" t="n">
        <v>144</v>
      </c>
      <c r="G564" s="6" t="n">
        <v>1745.1</v>
      </c>
      <c r="H564" s="6" t="n">
        <f aca="false">F564*G564</f>
        <v>251294.4</v>
      </c>
    </row>
    <row r="565" customFormat="false" ht="15" hidden="false" customHeight="false" outlineLevel="0" collapsed="false">
      <c r="A565" s="3" t="s">
        <v>604</v>
      </c>
      <c r="B565" s="3" t="s">
        <v>592</v>
      </c>
      <c r="C565" s="3" t="n">
        <v>23</v>
      </c>
      <c r="D565" s="4" t="s">
        <v>28</v>
      </c>
      <c r="E565" s="3" t="s">
        <v>16</v>
      </c>
      <c r="F565" s="5" t="n">
        <v>162</v>
      </c>
      <c r="G565" s="6" t="n">
        <v>1669.97</v>
      </c>
      <c r="H565" s="6" t="n">
        <f aca="false">F565*G565</f>
        <v>270535.14</v>
      </c>
    </row>
    <row r="566" customFormat="false" ht="15" hidden="false" customHeight="false" outlineLevel="0" collapsed="false">
      <c r="A566" s="3" t="s">
        <v>605</v>
      </c>
      <c r="B566" s="3" t="s">
        <v>592</v>
      </c>
      <c r="C566" s="3" t="n">
        <v>23</v>
      </c>
      <c r="D566" s="4" t="s">
        <v>28</v>
      </c>
      <c r="E566" s="3" t="s">
        <v>18</v>
      </c>
      <c r="F566" s="5" t="n">
        <v>141</v>
      </c>
      <c r="G566" s="6" t="n">
        <v>1881.5</v>
      </c>
      <c r="H566" s="6" t="n">
        <f aca="false">F566*G566</f>
        <v>265291.5</v>
      </c>
    </row>
    <row r="567" customFormat="false" ht="15" hidden="false" customHeight="false" outlineLevel="0" collapsed="false">
      <c r="A567" s="3" t="s">
        <v>606</v>
      </c>
      <c r="B567" s="3" t="s">
        <v>592</v>
      </c>
      <c r="C567" s="3" t="n">
        <v>23</v>
      </c>
      <c r="D567" s="4" t="s">
        <v>28</v>
      </c>
      <c r="E567" s="3" t="s">
        <v>20</v>
      </c>
      <c r="F567" s="5" t="n">
        <v>120</v>
      </c>
      <c r="G567" s="6" t="n">
        <v>1657.83</v>
      </c>
      <c r="H567" s="6" t="n">
        <f aca="false">F567*G567</f>
        <v>198939.6</v>
      </c>
    </row>
    <row r="568" customFormat="false" ht="15" hidden="false" customHeight="false" outlineLevel="0" collapsed="false">
      <c r="A568" s="3" t="s">
        <v>607</v>
      </c>
      <c r="B568" s="3" t="s">
        <v>592</v>
      </c>
      <c r="C568" s="3" t="n">
        <v>23</v>
      </c>
      <c r="D568" s="4" t="s">
        <v>34</v>
      </c>
      <c r="E568" s="3" t="s">
        <v>12</v>
      </c>
      <c r="F568" s="5" t="n">
        <v>177</v>
      </c>
      <c r="G568" s="6" t="n">
        <v>6754.99</v>
      </c>
      <c r="H568" s="6" t="n">
        <f aca="false">F568*G568</f>
        <v>1195633.23</v>
      </c>
    </row>
    <row r="569" customFormat="false" ht="15" hidden="false" customHeight="false" outlineLevel="0" collapsed="false">
      <c r="A569" s="3" t="s">
        <v>608</v>
      </c>
      <c r="B569" s="3" t="s">
        <v>592</v>
      </c>
      <c r="C569" s="3" t="n">
        <v>23</v>
      </c>
      <c r="D569" s="4" t="s">
        <v>34</v>
      </c>
      <c r="E569" s="3" t="s">
        <v>14</v>
      </c>
      <c r="F569" s="5" t="n">
        <v>152</v>
      </c>
      <c r="G569" s="6" t="n">
        <v>6751.43</v>
      </c>
      <c r="H569" s="6" t="n">
        <f aca="false">F569*G569</f>
        <v>1026217.36</v>
      </c>
    </row>
    <row r="570" customFormat="false" ht="15" hidden="false" customHeight="false" outlineLevel="0" collapsed="false">
      <c r="A570" s="3" t="s">
        <v>609</v>
      </c>
      <c r="B570" s="3" t="s">
        <v>592</v>
      </c>
      <c r="C570" s="3" t="n">
        <v>23</v>
      </c>
      <c r="D570" s="4" t="s">
        <v>34</v>
      </c>
      <c r="E570" s="3" t="s">
        <v>16</v>
      </c>
      <c r="F570" s="5" t="n">
        <v>124</v>
      </c>
      <c r="G570" s="6" t="n">
        <v>6214.99</v>
      </c>
      <c r="H570" s="6" t="n">
        <f aca="false">F570*G570</f>
        <v>770658.76</v>
      </c>
    </row>
    <row r="571" customFormat="false" ht="15" hidden="false" customHeight="false" outlineLevel="0" collapsed="false">
      <c r="A571" s="3" t="s">
        <v>610</v>
      </c>
      <c r="B571" s="3" t="s">
        <v>592</v>
      </c>
      <c r="C571" s="3" t="n">
        <v>23</v>
      </c>
      <c r="D571" s="4" t="s">
        <v>34</v>
      </c>
      <c r="E571" s="3" t="s">
        <v>18</v>
      </c>
      <c r="F571" s="5" t="n">
        <v>110</v>
      </c>
      <c r="G571" s="6" t="n">
        <v>6221.59</v>
      </c>
      <c r="H571" s="6" t="n">
        <f aca="false">F571*G571</f>
        <v>684374.9</v>
      </c>
    </row>
    <row r="572" customFormat="false" ht="15" hidden="false" customHeight="false" outlineLevel="0" collapsed="false">
      <c r="A572" s="3" t="s">
        <v>611</v>
      </c>
      <c r="B572" s="3" t="s">
        <v>592</v>
      </c>
      <c r="C572" s="3" t="n">
        <v>23</v>
      </c>
      <c r="D572" s="4" t="s">
        <v>34</v>
      </c>
      <c r="E572" s="3" t="s">
        <v>20</v>
      </c>
      <c r="F572" s="5" t="n">
        <v>116</v>
      </c>
      <c r="G572" s="6" t="n">
        <v>6328.94</v>
      </c>
      <c r="H572" s="6" t="n">
        <f aca="false">F572*G572</f>
        <v>734157.04</v>
      </c>
    </row>
    <row r="573" customFormat="false" ht="15" hidden="false" customHeight="false" outlineLevel="0" collapsed="false">
      <c r="A573" s="3" t="s">
        <v>612</v>
      </c>
      <c r="B573" s="3" t="s">
        <v>592</v>
      </c>
      <c r="C573" s="3" t="n">
        <v>23</v>
      </c>
      <c r="D573" s="4" t="s">
        <v>40</v>
      </c>
      <c r="E573" s="3" t="s">
        <v>12</v>
      </c>
      <c r="F573" s="5" t="n">
        <v>200</v>
      </c>
      <c r="G573" s="6" t="n">
        <v>3196.77</v>
      </c>
      <c r="H573" s="6" t="n">
        <f aca="false">F573*G573</f>
        <v>639354</v>
      </c>
    </row>
    <row r="574" customFormat="false" ht="15" hidden="false" customHeight="false" outlineLevel="0" collapsed="false">
      <c r="A574" s="3" t="s">
        <v>613</v>
      </c>
      <c r="B574" s="3" t="s">
        <v>592</v>
      </c>
      <c r="C574" s="3" t="n">
        <v>23</v>
      </c>
      <c r="D574" s="4" t="s">
        <v>40</v>
      </c>
      <c r="E574" s="3" t="s">
        <v>14</v>
      </c>
      <c r="F574" s="5" t="n">
        <v>143</v>
      </c>
      <c r="G574" s="6" t="n">
        <v>3205</v>
      </c>
      <c r="H574" s="6" t="n">
        <f aca="false">F574*G574</f>
        <v>458315</v>
      </c>
    </row>
    <row r="575" customFormat="false" ht="15" hidden="false" customHeight="false" outlineLevel="0" collapsed="false">
      <c r="A575" s="3" t="s">
        <v>614</v>
      </c>
      <c r="B575" s="3" t="s">
        <v>592</v>
      </c>
      <c r="C575" s="3" t="n">
        <v>23</v>
      </c>
      <c r="D575" s="4" t="s">
        <v>40</v>
      </c>
      <c r="E575" s="3" t="s">
        <v>16</v>
      </c>
      <c r="F575" s="5" t="n">
        <v>140</v>
      </c>
      <c r="G575" s="6" t="n">
        <v>3126.68</v>
      </c>
      <c r="H575" s="6" t="n">
        <f aca="false">F575*G575</f>
        <v>437735.2</v>
      </c>
    </row>
    <row r="576" customFormat="false" ht="15" hidden="false" customHeight="false" outlineLevel="0" collapsed="false">
      <c r="A576" s="3" t="s">
        <v>615</v>
      </c>
      <c r="B576" s="3" t="s">
        <v>592</v>
      </c>
      <c r="C576" s="3" t="n">
        <v>23</v>
      </c>
      <c r="D576" s="4" t="s">
        <v>40</v>
      </c>
      <c r="E576" s="3" t="s">
        <v>18</v>
      </c>
      <c r="F576" s="5" t="n">
        <v>132</v>
      </c>
      <c r="G576" s="6" t="n">
        <v>3243.07</v>
      </c>
      <c r="H576" s="6" t="n">
        <f aca="false">F576*G576</f>
        <v>428085.24</v>
      </c>
    </row>
    <row r="577" customFormat="false" ht="15" hidden="false" customHeight="false" outlineLevel="0" collapsed="false">
      <c r="A577" s="3" t="s">
        <v>616</v>
      </c>
      <c r="B577" s="3" t="s">
        <v>592</v>
      </c>
      <c r="C577" s="3" t="n">
        <v>23</v>
      </c>
      <c r="D577" s="4" t="s">
        <v>40</v>
      </c>
      <c r="E577" s="3" t="s">
        <v>20</v>
      </c>
      <c r="F577" s="5" t="n">
        <v>112</v>
      </c>
      <c r="G577" s="6" t="n">
        <v>2983.59</v>
      </c>
      <c r="H577" s="6" t="n">
        <f aca="false">F577*G577</f>
        <v>334162.08</v>
      </c>
    </row>
    <row r="578" customFormat="false" ht="15" hidden="false" customHeight="false" outlineLevel="0" collapsed="false">
      <c r="A578" s="3" t="s">
        <v>617</v>
      </c>
      <c r="B578" s="3" t="s">
        <v>618</v>
      </c>
      <c r="C578" s="3" t="n">
        <v>24</v>
      </c>
      <c r="D578" s="4" t="s">
        <v>11</v>
      </c>
      <c r="E578" s="3" t="s">
        <v>12</v>
      </c>
      <c r="F578" s="5" t="n">
        <v>166</v>
      </c>
      <c r="G578" s="6" t="n">
        <v>2686.06</v>
      </c>
      <c r="H578" s="6" t="n">
        <f aca="false">F578*G578</f>
        <v>445885.96</v>
      </c>
    </row>
    <row r="579" customFormat="false" ht="15" hidden="false" customHeight="false" outlineLevel="0" collapsed="false">
      <c r="A579" s="3" t="s">
        <v>619</v>
      </c>
      <c r="B579" s="3" t="s">
        <v>618</v>
      </c>
      <c r="C579" s="3" t="n">
        <v>24</v>
      </c>
      <c r="D579" s="4" t="s">
        <v>11</v>
      </c>
      <c r="E579" s="3" t="s">
        <v>14</v>
      </c>
      <c r="F579" s="5" t="n">
        <v>133</v>
      </c>
      <c r="G579" s="6" t="n">
        <v>2652.02</v>
      </c>
      <c r="H579" s="6" t="n">
        <f aca="false">F579*G579</f>
        <v>352718.66</v>
      </c>
    </row>
    <row r="580" customFormat="false" ht="15" hidden="false" customHeight="false" outlineLevel="0" collapsed="false">
      <c r="A580" s="3" t="s">
        <v>620</v>
      </c>
      <c r="B580" s="3" t="s">
        <v>618</v>
      </c>
      <c r="C580" s="3" t="n">
        <v>24</v>
      </c>
      <c r="D580" s="4" t="s">
        <v>11</v>
      </c>
      <c r="E580" s="3" t="s">
        <v>16</v>
      </c>
      <c r="F580" s="5" t="n">
        <v>134</v>
      </c>
      <c r="G580" s="6" t="n">
        <v>2404.15</v>
      </c>
      <c r="H580" s="6" t="n">
        <f aca="false">F580*G580</f>
        <v>322156.1</v>
      </c>
    </row>
    <row r="581" customFormat="false" ht="15" hidden="false" customHeight="false" outlineLevel="0" collapsed="false">
      <c r="A581" s="3" t="s">
        <v>621</v>
      </c>
      <c r="B581" s="3" t="s">
        <v>618</v>
      </c>
      <c r="C581" s="3" t="n">
        <v>24</v>
      </c>
      <c r="D581" s="4" t="s">
        <v>11</v>
      </c>
      <c r="E581" s="3" t="s">
        <v>18</v>
      </c>
      <c r="F581" s="5" t="n">
        <v>155</v>
      </c>
      <c r="G581" s="6" t="n">
        <v>2597.55</v>
      </c>
      <c r="H581" s="6" t="n">
        <f aca="false">F581*G581</f>
        <v>402620.25</v>
      </c>
    </row>
    <row r="582" customFormat="false" ht="15" hidden="false" customHeight="false" outlineLevel="0" collapsed="false">
      <c r="A582" s="3" t="s">
        <v>622</v>
      </c>
      <c r="B582" s="3" t="s">
        <v>618</v>
      </c>
      <c r="C582" s="3" t="n">
        <v>24</v>
      </c>
      <c r="D582" s="4" t="s">
        <v>11</v>
      </c>
      <c r="E582" s="3" t="s">
        <v>20</v>
      </c>
      <c r="F582" s="5" t="n">
        <v>104</v>
      </c>
      <c r="G582" s="6" t="n">
        <v>2598.46</v>
      </c>
      <c r="H582" s="6" t="n">
        <f aca="false">F582*G582</f>
        <v>270239.84</v>
      </c>
    </row>
    <row r="583" customFormat="false" ht="15" hidden="false" customHeight="false" outlineLevel="0" collapsed="false">
      <c r="A583" s="3" t="s">
        <v>623</v>
      </c>
      <c r="B583" s="3" t="s">
        <v>618</v>
      </c>
      <c r="C583" s="3" t="n">
        <v>24</v>
      </c>
      <c r="D583" s="4" t="s">
        <v>22</v>
      </c>
      <c r="E583" s="3" t="s">
        <v>12</v>
      </c>
      <c r="F583" s="5" t="n">
        <v>173</v>
      </c>
      <c r="G583" s="6" t="n">
        <v>4455.47</v>
      </c>
      <c r="H583" s="6" t="n">
        <f aca="false">F583*G583</f>
        <v>770796.31</v>
      </c>
    </row>
    <row r="584" customFormat="false" ht="15" hidden="false" customHeight="false" outlineLevel="0" collapsed="false">
      <c r="A584" s="3" t="s">
        <v>624</v>
      </c>
      <c r="B584" s="3" t="s">
        <v>618</v>
      </c>
      <c r="C584" s="3" t="n">
        <v>24</v>
      </c>
      <c r="D584" s="4" t="s">
        <v>22</v>
      </c>
      <c r="E584" s="3" t="s">
        <v>14</v>
      </c>
      <c r="F584" s="5" t="n">
        <v>182</v>
      </c>
      <c r="G584" s="6" t="n">
        <v>4024.72</v>
      </c>
      <c r="H584" s="6" t="n">
        <f aca="false">F584*G584</f>
        <v>732499.04</v>
      </c>
    </row>
    <row r="585" customFormat="false" ht="15" hidden="false" customHeight="false" outlineLevel="0" collapsed="false">
      <c r="A585" s="3" t="s">
        <v>625</v>
      </c>
      <c r="B585" s="3" t="s">
        <v>618</v>
      </c>
      <c r="C585" s="3" t="n">
        <v>24</v>
      </c>
      <c r="D585" s="4" t="s">
        <v>22</v>
      </c>
      <c r="E585" s="3" t="s">
        <v>16</v>
      </c>
      <c r="F585" s="5" t="n">
        <v>157</v>
      </c>
      <c r="G585" s="6" t="n">
        <v>4287.83</v>
      </c>
      <c r="H585" s="6" t="n">
        <f aca="false">F585*G585</f>
        <v>673189.31</v>
      </c>
    </row>
    <row r="586" customFormat="false" ht="15" hidden="false" customHeight="false" outlineLevel="0" collapsed="false">
      <c r="A586" s="3" t="s">
        <v>626</v>
      </c>
      <c r="B586" s="3" t="s">
        <v>618</v>
      </c>
      <c r="C586" s="3" t="n">
        <v>24</v>
      </c>
      <c r="D586" s="4" t="s">
        <v>22</v>
      </c>
      <c r="E586" s="3" t="s">
        <v>18</v>
      </c>
      <c r="F586" s="5" t="n">
        <v>157</v>
      </c>
      <c r="G586" s="6" t="n">
        <v>4311.04</v>
      </c>
      <c r="H586" s="6" t="n">
        <f aca="false">F586*G586</f>
        <v>676833.28</v>
      </c>
    </row>
    <row r="587" customFormat="false" ht="15" hidden="false" customHeight="false" outlineLevel="0" collapsed="false">
      <c r="A587" s="3" t="s">
        <v>627</v>
      </c>
      <c r="B587" s="3" t="s">
        <v>618</v>
      </c>
      <c r="C587" s="3" t="n">
        <v>24</v>
      </c>
      <c r="D587" s="4" t="s">
        <v>22</v>
      </c>
      <c r="E587" s="3" t="s">
        <v>20</v>
      </c>
      <c r="F587" s="5" t="n">
        <v>123</v>
      </c>
      <c r="G587" s="6" t="n">
        <v>4179.5</v>
      </c>
      <c r="H587" s="6" t="n">
        <f aca="false">F587*G587</f>
        <v>514078.5</v>
      </c>
    </row>
    <row r="588" customFormat="false" ht="15" hidden="false" customHeight="false" outlineLevel="0" collapsed="false">
      <c r="A588" s="3" t="s">
        <v>628</v>
      </c>
      <c r="B588" s="3" t="s">
        <v>618</v>
      </c>
      <c r="C588" s="3" t="n">
        <v>24</v>
      </c>
      <c r="D588" s="4" t="s">
        <v>28</v>
      </c>
      <c r="E588" s="3" t="s">
        <v>12</v>
      </c>
      <c r="F588" s="5" t="n">
        <v>207</v>
      </c>
      <c r="G588" s="6" t="n">
        <v>1856.91</v>
      </c>
      <c r="H588" s="6" t="n">
        <f aca="false">F588*G588</f>
        <v>384380.37</v>
      </c>
    </row>
    <row r="589" customFormat="false" ht="15" hidden="false" customHeight="false" outlineLevel="0" collapsed="false">
      <c r="A589" s="3" t="s">
        <v>629</v>
      </c>
      <c r="B589" s="3" t="s">
        <v>618</v>
      </c>
      <c r="C589" s="3" t="n">
        <v>24</v>
      </c>
      <c r="D589" s="4" t="s">
        <v>28</v>
      </c>
      <c r="E589" s="3" t="s">
        <v>14</v>
      </c>
      <c r="F589" s="5" t="n">
        <v>172</v>
      </c>
      <c r="G589" s="6" t="n">
        <v>1781.92</v>
      </c>
      <c r="H589" s="6" t="n">
        <f aca="false">F589*G589</f>
        <v>306490.24</v>
      </c>
    </row>
    <row r="590" customFormat="false" ht="15" hidden="false" customHeight="false" outlineLevel="0" collapsed="false">
      <c r="A590" s="3" t="s">
        <v>630</v>
      </c>
      <c r="B590" s="3" t="s">
        <v>618</v>
      </c>
      <c r="C590" s="3" t="n">
        <v>24</v>
      </c>
      <c r="D590" s="4" t="s">
        <v>28</v>
      </c>
      <c r="E590" s="3" t="s">
        <v>16</v>
      </c>
      <c r="F590" s="5" t="n">
        <v>137</v>
      </c>
      <c r="G590" s="6" t="n">
        <v>1820.26</v>
      </c>
      <c r="H590" s="6" t="n">
        <f aca="false">F590*G590</f>
        <v>249375.62</v>
      </c>
    </row>
    <row r="591" customFormat="false" ht="15" hidden="false" customHeight="false" outlineLevel="0" collapsed="false">
      <c r="A591" s="3" t="s">
        <v>631</v>
      </c>
      <c r="B591" s="3" t="s">
        <v>618</v>
      </c>
      <c r="C591" s="3" t="n">
        <v>24</v>
      </c>
      <c r="D591" s="4" t="s">
        <v>28</v>
      </c>
      <c r="E591" s="3" t="s">
        <v>18</v>
      </c>
      <c r="F591" s="5" t="n">
        <v>140</v>
      </c>
      <c r="G591" s="6" t="n">
        <v>1717.05</v>
      </c>
      <c r="H591" s="6" t="n">
        <f aca="false">F591*G591</f>
        <v>240387</v>
      </c>
    </row>
    <row r="592" customFormat="false" ht="15" hidden="false" customHeight="false" outlineLevel="0" collapsed="false">
      <c r="A592" s="3" t="s">
        <v>632</v>
      </c>
      <c r="B592" s="3" t="s">
        <v>618</v>
      </c>
      <c r="C592" s="3" t="n">
        <v>24</v>
      </c>
      <c r="D592" s="4" t="s">
        <v>28</v>
      </c>
      <c r="E592" s="3" t="s">
        <v>20</v>
      </c>
      <c r="F592" s="5" t="n">
        <v>126</v>
      </c>
      <c r="G592" s="6" t="n">
        <v>1678.41</v>
      </c>
      <c r="H592" s="6" t="n">
        <f aca="false">F592*G592</f>
        <v>211479.66</v>
      </c>
    </row>
    <row r="593" customFormat="false" ht="15" hidden="false" customHeight="false" outlineLevel="0" collapsed="false">
      <c r="A593" s="3" t="s">
        <v>633</v>
      </c>
      <c r="B593" s="3" t="s">
        <v>618</v>
      </c>
      <c r="C593" s="3" t="n">
        <v>24</v>
      </c>
      <c r="D593" s="4" t="s">
        <v>34</v>
      </c>
      <c r="E593" s="3" t="s">
        <v>12</v>
      </c>
      <c r="F593" s="5" t="n">
        <v>154</v>
      </c>
      <c r="G593" s="6" t="n">
        <v>6130.38</v>
      </c>
      <c r="H593" s="6" t="n">
        <f aca="false">F593*G593</f>
        <v>944078.52</v>
      </c>
    </row>
    <row r="594" customFormat="false" ht="15" hidden="false" customHeight="false" outlineLevel="0" collapsed="false">
      <c r="A594" s="3" t="s">
        <v>634</v>
      </c>
      <c r="B594" s="3" t="s">
        <v>618</v>
      </c>
      <c r="C594" s="3" t="n">
        <v>24</v>
      </c>
      <c r="D594" s="4" t="s">
        <v>34</v>
      </c>
      <c r="E594" s="3" t="s">
        <v>14</v>
      </c>
      <c r="F594" s="5" t="n">
        <v>183</v>
      </c>
      <c r="G594" s="6" t="n">
        <v>6090.95</v>
      </c>
      <c r="H594" s="6" t="n">
        <f aca="false">F594*G594</f>
        <v>1114643.85</v>
      </c>
    </row>
    <row r="595" customFormat="false" ht="15" hidden="false" customHeight="false" outlineLevel="0" collapsed="false">
      <c r="A595" s="3" t="s">
        <v>635</v>
      </c>
      <c r="B595" s="3" t="s">
        <v>618</v>
      </c>
      <c r="C595" s="3" t="n">
        <v>24</v>
      </c>
      <c r="D595" s="4" t="s">
        <v>34</v>
      </c>
      <c r="E595" s="3" t="s">
        <v>16</v>
      </c>
      <c r="F595" s="5" t="n">
        <v>129</v>
      </c>
      <c r="G595" s="6" t="n">
        <v>6338.66</v>
      </c>
      <c r="H595" s="6" t="n">
        <f aca="false">F595*G595</f>
        <v>817687.14</v>
      </c>
    </row>
    <row r="596" customFormat="false" ht="15" hidden="false" customHeight="false" outlineLevel="0" collapsed="false">
      <c r="A596" s="3" t="s">
        <v>636</v>
      </c>
      <c r="B596" s="3" t="s">
        <v>618</v>
      </c>
      <c r="C596" s="3" t="n">
        <v>24</v>
      </c>
      <c r="D596" s="4" t="s">
        <v>34</v>
      </c>
      <c r="E596" s="3" t="s">
        <v>18</v>
      </c>
      <c r="F596" s="5" t="n">
        <v>114</v>
      </c>
      <c r="G596" s="6" t="n">
        <v>6009.88</v>
      </c>
      <c r="H596" s="6" t="n">
        <f aca="false">F596*G596</f>
        <v>685126.32</v>
      </c>
    </row>
    <row r="597" customFormat="false" ht="15" hidden="false" customHeight="false" outlineLevel="0" collapsed="false">
      <c r="A597" s="3" t="s">
        <v>637</v>
      </c>
      <c r="B597" s="3" t="s">
        <v>618</v>
      </c>
      <c r="C597" s="3" t="n">
        <v>24</v>
      </c>
      <c r="D597" s="4" t="s">
        <v>34</v>
      </c>
      <c r="E597" s="3" t="s">
        <v>20</v>
      </c>
      <c r="F597" s="5" t="n">
        <v>115</v>
      </c>
      <c r="G597" s="6" t="n">
        <v>6700.33</v>
      </c>
      <c r="H597" s="6" t="n">
        <f aca="false">F597*G597</f>
        <v>770537.95</v>
      </c>
    </row>
    <row r="598" customFormat="false" ht="15" hidden="false" customHeight="false" outlineLevel="0" collapsed="false">
      <c r="A598" s="3" t="s">
        <v>638</v>
      </c>
      <c r="B598" s="3" t="s">
        <v>618</v>
      </c>
      <c r="C598" s="3" t="n">
        <v>24</v>
      </c>
      <c r="D598" s="4" t="s">
        <v>40</v>
      </c>
      <c r="E598" s="3" t="s">
        <v>12</v>
      </c>
      <c r="F598" s="5" t="n">
        <v>199</v>
      </c>
      <c r="G598" s="6" t="n">
        <v>3197.72</v>
      </c>
      <c r="H598" s="6" t="n">
        <f aca="false">F598*G598</f>
        <v>636346.28</v>
      </c>
    </row>
    <row r="599" customFormat="false" ht="15" hidden="false" customHeight="false" outlineLevel="0" collapsed="false">
      <c r="A599" s="3" t="s">
        <v>639</v>
      </c>
      <c r="B599" s="3" t="s">
        <v>618</v>
      </c>
      <c r="C599" s="3" t="n">
        <v>24</v>
      </c>
      <c r="D599" s="4" t="s">
        <v>40</v>
      </c>
      <c r="E599" s="3" t="s">
        <v>14</v>
      </c>
      <c r="F599" s="5" t="n">
        <v>164</v>
      </c>
      <c r="G599" s="6" t="n">
        <v>2884.62</v>
      </c>
      <c r="H599" s="6" t="n">
        <f aca="false">F599*G599</f>
        <v>473077.68</v>
      </c>
    </row>
    <row r="600" customFormat="false" ht="15" hidden="false" customHeight="false" outlineLevel="0" collapsed="false">
      <c r="A600" s="3" t="s">
        <v>640</v>
      </c>
      <c r="B600" s="3" t="s">
        <v>618</v>
      </c>
      <c r="C600" s="3" t="n">
        <v>24</v>
      </c>
      <c r="D600" s="4" t="s">
        <v>40</v>
      </c>
      <c r="E600" s="3" t="s">
        <v>16</v>
      </c>
      <c r="F600" s="5" t="n">
        <v>163</v>
      </c>
      <c r="G600" s="6" t="n">
        <v>3032.25</v>
      </c>
      <c r="H600" s="6" t="n">
        <f aca="false">F600*G600</f>
        <v>494256.75</v>
      </c>
    </row>
    <row r="601" customFormat="false" ht="15" hidden="false" customHeight="false" outlineLevel="0" collapsed="false">
      <c r="A601" s="3" t="s">
        <v>641</v>
      </c>
      <c r="B601" s="3" t="s">
        <v>618</v>
      </c>
      <c r="C601" s="3" t="n">
        <v>24</v>
      </c>
      <c r="D601" s="4" t="s">
        <v>40</v>
      </c>
      <c r="E601" s="3" t="s">
        <v>18</v>
      </c>
      <c r="F601" s="5" t="n">
        <v>153</v>
      </c>
      <c r="G601" s="6" t="n">
        <v>3258.5</v>
      </c>
      <c r="H601" s="6" t="n">
        <f aca="false">F601*G601</f>
        <v>498550.5</v>
      </c>
    </row>
    <row r="602" customFormat="false" ht="15" hidden="false" customHeight="false" outlineLevel="0" collapsed="false">
      <c r="A602" s="3" t="s">
        <v>642</v>
      </c>
      <c r="B602" s="3" t="s">
        <v>618</v>
      </c>
      <c r="C602" s="3" t="n">
        <v>24</v>
      </c>
      <c r="D602" s="4" t="s">
        <v>40</v>
      </c>
      <c r="E602" s="3" t="s">
        <v>20</v>
      </c>
      <c r="F602" s="5" t="n">
        <v>124</v>
      </c>
      <c r="G602" s="6" t="n">
        <v>2884.71</v>
      </c>
      <c r="H602" s="6" t="n">
        <f aca="false">F602*G602</f>
        <v>357704.04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26"/>
  </cols>
  <sheetData>
    <row r="1" customFormat="false" ht="27.75" hidden="false" customHeight="true" outlineLevel="0" collapsed="false">
      <c r="A1" s="1" t="s">
        <v>643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</v>
      </c>
      <c r="B2" s="2" t="s">
        <v>3</v>
      </c>
      <c r="C2" s="2" t="s">
        <v>644</v>
      </c>
      <c r="D2" s="2" t="s">
        <v>645</v>
      </c>
      <c r="E2" s="2" t="s">
        <v>646</v>
      </c>
      <c r="F2" s="2" t="s">
        <v>647</v>
      </c>
    </row>
    <row r="3" customFormat="false" ht="15" hidden="false" customHeight="false" outlineLevel="0" collapsed="false">
      <c r="A3" s="3" t="s">
        <v>10</v>
      </c>
      <c r="B3" s="3" t="n">
        <v>1</v>
      </c>
      <c r="C3" s="6" t="n">
        <f aca="false">SUMIF(Sales_Data!B3:B602,A3,Sales_Data!H3:H602)</f>
        <v>8807887.21</v>
      </c>
      <c r="D3" s="3"/>
      <c r="E3" s="3"/>
      <c r="F3" s="3"/>
    </row>
    <row r="4" customFormat="false" ht="15" hidden="false" customHeight="false" outlineLevel="0" collapsed="false">
      <c r="A4" s="3" t="s">
        <v>46</v>
      </c>
      <c r="B4" s="3" t="n">
        <v>2</v>
      </c>
      <c r="C4" s="6" t="n">
        <f aca="false">SUMIF(Sales_Data!B3:B602,A4,Sales_Data!H3:H602)</f>
        <v>9661762.03</v>
      </c>
      <c r="D4" s="7" t="n">
        <f aca="false">IF(C3&gt;0,(C4-C3)/C3,"")</f>
        <v>0.0969443408665083</v>
      </c>
      <c r="E4" s="3"/>
      <c r="F4" s="3"/>
    </row>
    <row r="5" customFormat="false" ht="15" hidden="false" customHeight="false" outlineLevel="0" collapsed="false">
      <c r="A5" s="3" t="s">
        <v>72</v>
      </c>
      <c r="B5" s="3" t="n">
        <v>3</v>
      </c>
      <c r="C5" s="6" t="n">
        <f aca="false">SUMIF(Sales_Data!B3:B602,A5,Sales_Data!H3:H602)</f>
        <v>9515133.58</v>
      </c>
      <c r="D5" s="7" t="n">
        <f aca="false">IF(C4&gt;0,(C5-C4)/C4,"")</f>
        <v>-0.01517616036751</v>
      </c>
      <c r="E5" s="6" t="n">
        <f aca="false">AVERAGE(C3:C5)</f>
        <v>9328260.94</v>
      </c>
      <c r="F5" s="6" t="n">
        <f aca="false">FORECAST(B5+1,C3:C5,B3:B5)</f>
        <v>10035507.31</v>
      </c>
    </row>
    <row r="6" customFormat="false" ht="15" hidden="false" customHeight="false" outlineLevel="0" collapsed="false">
      <c r="A6" s="3" t="s">
        <v>98</v>
      </c>
      <c r="B6" s="3" t="n">
        <v>4</v>
      </c>
      <c r="C6" s="6" t="n">
        <f aca="false">SUMIF(Sales_Data!B3:B602,A6,Sales_Data!H3:H602)</f>
        <v>10538756.44</v>
      </c>
      <c r="D6" s="7" t="n">
        <f aca="false">IF(C5&gt;0,(C6-C5)/C5,"")</f>
        <v>0.107578401437429</v>
      </c>
      <c r="E6" s="6" t="n">
        <f aca="false">AVERAGE(C4:C6)</f>
        <v>9905217.35</v>
      </c>
      <c r="F6" s="6" t="n">
        <f aca="false">FORECAST(B6+1,C3:C6,B3:B6)</f>
        <v>10892379.625</v>
      </c>
    </row>
    <row r="7" customFormat="false" ht="15" hidden="false" customHeight="false" outlineLevel="0" collapsed="false">
      <c r="A7" s="3" t="s">
        <v>124</v>
      </c>
      <c r="B7" s="3" t="n">
        <v>5</v>
      </c>
      <c r="C7" s="6" t="n">
        <f aca="false">SUMIF(Sales_Data!B3:B602,A7,Sales_Data!H3:H602)</f>
        <v>11063608.06</v>
      </c>
      <c r="D7" s="7" t="n">
        <f aca="false">IF(C6&gt;0,(C7-C6)/C6,"")</f>
        <v>0.0498020447657296</v>
      </c>
      <c r="E7" s="6" t="n">
        <f aca="false">AVERAGE(C5:C7)</f>
        <v>10372499.36</v>
      </c>
      <c r="F7" s="6" t="n">
        <f aca="false">FORECAST(B7+1,C3:C7,B3:B7)</f>
        <v>11533960.297</v>
      </c>
    </row>
    <row r="8" customFormat="false" ht="15" hidden="false" customHeight="false" outlineLevel="0" collapsed="false">
      <c r="A8" s="3" t="s">
        <v>150</v>
      </c>
      <c r="B8" s="3" t="n">
        <v>6</v>
      </c>
      <c r="C8" s="6" t="n">
        <f aca="false">SUMIF(Sales_Data!B3:B602,A8,Sales_Data!H3:H602)</f>
        <v>11340657.11</v>
      </c>
      <c r="D8" s="7" t="n">
        <f aca="false">IF(C7&gt;0,(C8-C7)/C7,"")</f>
        <v>0.025041473676355</v>
      </c>
      <c r="E8" s="6" t="n">
        <f aca="false">AVERAGE(C6:C8)</f>
        <v>10981007.2033333</v>
      </c>
      <c r="F8" s="6" t="n">
        <f aca="false">FORECAST(B8+1,C3:C8,B3:B8)</f>
        <v>11943935.1166667</v>
      </c>
    </row>
    <row r="9" customFormat="false" ht="15" hidden="false" customHeight="false" outlineLevel="0" collapsed="false">
      <c r="A9" s="3" t="s">
        <v>176</v>
      </c>
      <c r="B9" s="3" t="n">
        <v>7</v>
      </c>
      <c r="C9" s="6" t="n">
        <f aca="false">SUMIF(Sales_Data!B3:B602,A9,Sales_Data!H3:H602)</f>
        <v>11331074.08</v>
      </c>
      <c r="D9" s="7" t="n">
        <f aca="false">IF(C8&gt;0,(C9-C8)/C8,"")</f>
        <v>-0.000845015408458931</v>
      </c>
      <c r="E9" s="6" t="n">
        <f aca="false">AVERAGE(C7:C9)</f>
        <v>11245113.0833333</v>
      </c>
      <c r="F9" s="6" t="n">
        <f aca="false">FORECAST(B9+1,C3:C9,B3:B9)</f>
        <v>12104957.68</v>
      </c>
    </row>
    <row r="10" customFormat="false" ht="15" hidden="false" customHeight="false" outlineLevel="0" collapsed="false">
      <c r="A10" s="3" t="s">
        <v>202</v>
      </c>
      <c r="B10" s="3" t="n">
        <v>8</v>
      </c>
      <c r="C10" s="6" t="n">
        <f aca="false">SUMIF(Sales_Data!B3:B602,A10,Sales_Data!H3:H602)</f>
        <v>11514525.34</v>
      </c>
      <c r="D10" s="7" t="n">
        <f aca="false">IF(C9&gt;0,(C10-C9)/C9,"")</f>
        <v>0.0161901033127832</v>
      </c>
      <c r="E10" s="6" t="n">
        <f aca="false">AVERAGE(C8:C10)</f>
        <v>11395418.8433333</v>
      </c>
      <c r="F10" s="6" t="n">
        <f aca="false">FORECAST(B10+1,C3:C10,B3:B10)</f>
        <v>12255306.6975</v>
      </c>
    </row>
    <row r="11" customFormat="false" ht="15" hidden="false" customHeight="false" outlineLevel="0" collapsed="false">
      <c r="A11" s="3" t="s">
        <v>228</v>
      </c>
      <c r="B11" s="3" t="n">
        <v>9</v>
      </c>
      <c r="C11" s="6" t="n">
        <f aca="false">SUMIF(Sales_Data!B3:B602,A11,Sales_Data!H3:H602)</f>
        <v>11892413.07</v>
      </c>
      <c r="D11" s="7" t="n">
        <f aca="false">IF(C10&gt;0,(C11-C10)/C10,"")</f>
        <v>0.0328183506346776</v>
      </c>
      <c r="E11" s="6" t="n">
        <f aca="false">AVERAGE(C9:C11)</f>
        <v>11579337.4966667</v>
      </c>
      <c r="F11" s="6" t="n">
        <f aca="false">FORECAST(B11+1,C3:C11,B3:B11)</f>
        <v>12490383.1333333</v>
      </c>
    </row>
    <row r="12" customFormat="false" ht="15" hidden="false" customHeight="false" outlineLevel="0" collapsed="false">
      <c r="A12" s="3" t="s">
        <v>254</v>
      </c>
      <c r="B12" s="3" t="n">
        <v>10</v>
      </c>
      <c r="C12" s="6" t="n">
        <f aca="false">SUMIF(Sales_Data!B3:B602,A12,Sales_Data!H3:H602)</f>
        <v>12495180.28</v>
      </c>
      <c r="D12" s="7" t="n">
        <f aca="false">IF(C11&gt;0,(C12-C11)/C11,"")</f>
        <v>0.0506850213200675</v>
      </c>
      <c r="E12" s="6" t="n">
        <f aca="false">AVERAGE(C10:C12)</f>
        <v>11967372.8966667</v>
      </c>
      <c r="F12" s="6" t="n">
        <f aca="false">FORECAST(B12+1,C3:C12,B3:B12)</f>
        <v>12864471.576</v>
      </c>
    </row>
    <row r="13" customFormat="false" ht="15" hidden="false" customHeight="false" outlineLevel="0" collapsed="false">
      <c r="A13" s="3" t="s">
        <v>280</v>
      </c>
      <c r="B13" s="3" t="n">
        <v>11</v>
      </c>
      <c r="C13" s="6" t="n">
        <f aca="false">SUMIF(Sales_Data!B3:B602,A13,Sales_Data!H3:H602)</f>
        <v>12830775.31</v>
      </c>
      <c r="D13" s="7" t="n">
        <f aca="false">IF(C12&gt;0,(C13-C12)/C12,"")</f>
        <v>0.0268579582270742</v>
      </c>
      <c r="E13" s="6" t="n">
        <f aca="false">AVERAGE(C11:C13)</f>
        <v>12406122.8866667</v>
      </c>
      <c r="F13" s="6" t="n">
        <f aca="false">FORECAST(B13+1,C3:C13,B3:B13)</f>
        <v>13224649.6349091</v>
      </c>
    </row>
    <row r="14" customFormat="false" ht="15" hidden="false" customHeight="false" outlineLevel="0" collapsed="false">
      <c r="A14" s="3" t="s">
        <v>306</v>
      </c>
      <c r="B14" s="3" t="n">
        <v>12</v>
      </c>
      <c r="C14" s="6" t="n">
        <f aca="false">SUMIF(Sales_Data!B3:B602,A14,Sales_Data!H3:H602)</f>
        <v>13028943.88</v>
      </c>
      <c r="D14" s="7" t="n">
        <f aca="false">IF(C13&gt;0,(C14-C13)/C13,"")</f>
        <v>0.0154447853081452</v>
      </c>
      <c r="E14" s="6" t="n">
        <f aca="false">AVERAGE(C12:C14)</f>
        <v>12784966.49</v>
      </c>
      <c r="F14" s="6" t="n">
        <f aca="false">FORECAST(B14+1,C3:C14,B3:B14)</f>
        <v>13530313.9813636</v>
      </c>
    </row>
    <row r="15" customFormat="false" ht="15" hidden="false" customHeight="false" outlineLevel="0" collapsed="false">
      <c r="A15" s="3" t="s">
        <v>332</v>
      </c>
      <c r="B15" s="3" t="n">
        <v>13</v>
      </c>
      <c r="C15" s="6" t="n">
        <f aca="false">SUMIF(Sales_Data!B3:B602,A15,Sales_Data!H3:H602)</f>
        <v>8969438.21</v>
      </c>
      <c r="D15" s="7" t="n">
        <f aca="false">IF(C14&gt;0,(C15-C14)/C14,"")</f>
        <v>-0.311575957912561</v>
      </c>
      <c r="E15" s="6" t="n">
        <f aca="false">AVERAGE(C13:C15)</f>
        <v>11609719.1333333</v>
      </c>
      <c r="F15" s="6" t="n">
        <f aca="false">FORECAST(B15+1,C3:C15,B3:B15)</f>
        <v>12490340.0438462</v>
      </c>
    </row>
    <row r="16" customFormat="false" ht="15" hidden="false" customHeight="false" outlineLevel="0" collapsed="false">
      <c r="A16" s="3" t="s">
        <v>358</v>
      </c>
      <c r="B16" s="3" t="n">
        <v>14</v>
      </c>
      <c r="C16" s="6" t="n">
        <f aca="false">SUMIF(Sales_Data!B3:B602,A16,Sales_Data!H3:H602)</f>
        <v>9569035.73</v>
      </c>
      <c r="D16" s="7" t="n">
        <f aca="false">IF(C15&gt;0,(C16-C15)/C15,"")</f>
        <v>0.0668489492833018</v>
      </c>
      <c r="E16" s="6" t="n">
        <f aca="false">AVERAGE(C14:C16)</f>
        <v>10522472.6066667</v>
      </c>
      <c r="F16" s="6" t="n">
        <f aca="false">FORECAST(B16+1,C3:C16,B3:B16)</f>
        <v>11868695.5802198</v>
      </c>
    </row>
    <row r="17" customFormat="false" ht="15" hidden="false" customHeight="false" outlineLevel="0" collapsed="false">
      <c r="A17" s="3" t="s">
        <v>384</v>
      </c>
      <c r="B17" s="3" t="n">
        <v>15</v>
      </c>
      <c r="C17" s="6" t="n">
        <f aca="false">SUMIF(Sales_Data!B3:B602,A17,Sales_Data!H3:H602)</f>
        <v>10107560.79</v>
      </c>
      <c r="D17" s="7" t="n">
        <f aca="false">IF(C16&gt;0,(C17-C16)/C16,"")</f>
        <v>0.0562778816168135</v>
      </c>
      <c r="E17" s="6" t="n">
        <f aca="false">AVERAGE(C15:C17)</f>
        <v>9548678.24333333</v>
      </c>
      <c r="F17" s="6" t="n">
        <f aca="false">FORECAST(B17+1,C3:C17,B3:B17)</f>
        <v>11528607.710381</v>
      </c>
    </row>
    <row r="18" customFormat="false" ht="15" hidden="false" customHeight="false" outlineLevel="0" collapsed="false">
      <c r="A18" s="3" t="s">
        <v>410</v>
      </c>
      <c r="B18" s="3" t="n">
        <v>16</v>
      </c>
      <c r="C18" s="6" t="n">
        <f aca="false">SUMIF(Sales_Data!B3:B602,A18,Sales_Data!H3:H602)</f>
        <v>10198060.21</v>
      </c>
      <c r="D18" s="7" t="n">
        <f aca="false">IF(C17&gt;0,(C18-C17)/C17,"")</f>
        <v>0.00895363598401883</v>
      </c>
      <c r="E18" s="6" t="n">
        <f aca="false">AVERAGE(C16:C18)</f>
        <v>9958218.91</v>
      </c>
      <c r="F18" s="6" t="n">
        <f aca="false">FORECAST(B18+1,C3:C18,B3:B18)</f>
        <v>11281490.53975</v>
      </c>
    </row>
    <row r="19" customFormat="false" ht="15" hidden="false" customHeight="false" outlineLevel="0" collapsed="false">
      <c r="A19" s="3" t="s">
        <v>436</v>
      </c>
      <c r="B19" s="3" t="n">
        <v>17</v>
      </c>
      <c r="C19" s="6" t="n">
        <f aca="false">SUMIF(Sales_Data!B3:B602,A19,Sales_Data!H3:H602)</f>
        <v>10488543.62</v>
      </c>
      <c r="D19" s="7" t="n">
        <f aca="false">IF(C18&gt;0,(C19-C18)/C18,"")</f>
        <v>0.0284841826796785</v>
      </c>
      <c r="E19" s="6" t="n">
        <f aca="false">AVERAGE(C17:C19)</f>
        <v>10264721.54</v>
      </c>
      <c r="F19" s="6" t="n">
        <f aca="false">FORECAST(B19+1,C3:C19,B3:B19)</f>
        <v>11151084.1858824</v>
      </c>
    </row>
    <row r="20" customFormat="false" ht="15" hidden="false" customHeight="false" outlineLevel="0" collapsed="false">
      <c r="A20" s="3" t="s">
        <v>462</v>
      </c>
      <c r="B20" s="3" t="n">
        <v>18</v>
      </c>
      <c r="C20" s="6" t="n">
        <f aca="false">SUMIF(Sales_Data!B3:B602,A20,Sales_Data!H3:H602)</f>
        <v>10699305.66</v>
      </c>
      <c r="D20" s="7" t="n">
        <f aca="false">IF(C19&gt;0,(C20-C19)/C19,"")</f>
        <v>0.0200945000217293</v>
      </c>
      <c r="E20" s="6" t="n">
        <f aca="false">AVERAGE(C18:C20)</f>
        <v>10461969.83</v>
      </c>
      <c r="F20" s="6" t="n">
        <f aca="false">FORECAST(B20+1,C3:C20,B3:B20)</f>
        <v>11091310.3710458</v>
      </c>
    </row>
    <row r="21" customFormat="false" ht="15" hidden="false" customHeight="false" outlineLevel="0" collapsed="false">
      <c r="A21" s="3" t="s">
        <v>488</v>
      </c>
      <c r="B21" s="3" t="n">
        <v>19</v>
      </c>
      <c r="C21" s="6" t="n">
        <f aca="false">SUMIF(Sales_Data!B3:B602,A21,Sales_Data!H3:H602)</f>
        <v>11673788.07</v>
      </c>
      <c r="D21" s="7" t="n">
        <f aca="false">IF(C20&gt;0,(C21-C20)/C20,"")</f>
        <v>0.091079032693043</v>
      </c>
      <c r="E21" s="6" t="n">
        <f aca="false">AVERAGE(C19:C21)</f>
        <v>10953879.1166667</v>
      </c>
      <c r="F21" s="6" t="n">
        <f aca="false">FORECAST(B21+1,C3:C21,B3:B21)</f>
        <v>11246632.7291228</v>
      </c>
    </row>
    <row r="22" customFormat="false" ht="15" hidden="false" customHeight="false" outlineLevel="0" collapsed="false">
      <c r="A22" s="3" t="s">
        <v>514</v>
      </c>
      <c r="B22" s="3" t="n">
        <v>20</v>
      </c>
      <c r="C22" s="6" t="n">
        <f aca="false">SUMIF(Sales_Data!B3:B602,A22,Sales_Data!H3:H602)</f>
        <v>11246387.22</v>
      </c>
      <c r="D22" s="7" t="n">
        <f aca="false">IF(C21&gt;0,(C22-C21)/C21,"")</f>
        <v>-0.0366120103806202</v>
      </c>
      <c r="E22" s="6" t="n">
        <f aca="false">AVERAGE(C20:C22)</f>
        <v>11206493.65</v>
      </c>
      <c r="F22" s="6" t="n">
        <f aca="false">FORECAST(B22+1,C3:C22,B3:B22)</f>
        <v>11288476.1176842</v>
      </c>
    </row>
    <row r="23" customFormat="false" ht="15" hidden="false" customHeight="false" outlineLevel="0" collapsed="false">
      <c r="A23" s="3" t="s">
        <v>540</v>
      </c>
      <c r="B23" s="3" t="n">
        <v>21</v>
      </c>
      <c r="C23" s="6" t="n">
        <f aca="false">SUMIF(Sales_Data!B3:B602,A23,Sales_Data!H3:H602)</f>
        <v>12653776.98</v>
      </c>
      <c r="D23" s="7" t="n">
        <f aca="false">IF(C22&gt;0,(C23-C22)/C22,"")</f>
        <v>0.125141499440564</v>
      </c>
      <c r="E23" s="6" t="n">
        <f aca="false">AVERAGE(C21:C23)</f>
        <v>11857984.09</v>
      </c>
      <c r="F23" s="6" t="n">
        <f aca="false">FORECAST(B23+1,C3:C23,B3:B23)</f>
        <v>11590422.4079048</v>
      </c>
    </row>
    <row r="24" customFormat="false" ht="15" hidden="false" customHeight="false" outlineLevel="0" collapsed="false">
      <c r="A24" s="3" t="s">
        <v>566</v>
      </c>
      <c r="B24" s="3" t="n">
        <v>22</v>
      </c>
      <c r="C24" s="6" t="n">
        <f aca="false">SUMIF(Sales_Data!B3:B602,A24,Sales_Data!H3:H602)</f>
        <v>12310929.38</v>
      </c>
      <c r="D24" s="7" t="n">
        <f aca="false">IF(C23&gt;0,(C24-C23)/C23,"")</f>
        <v>-0.0270944873251592</v>
      </c>
      <c r="E24" s="6" t="n">
        <f aca="false">AVERAGE(C22:C24)</f>
        <v>12070364.5266667</v>
      </c>
      <c r="F24" s="6" t="n">
        <f aca="false">FORECAST(B24+1,C3:C24,B3:B24)</f>
        <v>11781043.8387013</v>
      </c>
    </row>
    <row r="25" customFormat="false" ht="15" hidden="false" customHeight="false" outlineLevel="0" collapsed="false">
      <c r="A25" s="3" t="s">
        <v>592</v>
      </c>
      <c r="B25" s="3" t="n">
        <v>23</v>
      </c>
      <c r="C25" s="6" t="n">
        <f aca="false">SUMIF(Sales_Data!B3:B602,A25,Sales_Data!H3:H602)</f>
        <v>12779130.92</v>
      </c>
      <c r="D25" s="7" t="n">
        <f aca="false">IF(C24&gt;0,(C25-C24)/C24,"")</f>
        <v>0.0380313724129251</v>
      </c>
      <c r="E25" s="6" t="n">
        <f aca="false">AVERAGE(C23:C25)</f>
        <v>12581279.0933333</v>
      </c>
      <c r="F25" s="6" t="n">
        <f aca="false">FORECAST(B25+1,C3:C25,B3:B25)</f>
        <v>12022787.9247431</v>
      </c>
    </row>
    <row r="26" customFormat="false" ht="15" hidden="false" customHeight="false" outlineLevel="0" collapsed="false">
      <c r="A26" s="3" t="s">
        <v>618</v>
      </c>
      <c r="B26" s="3" t="n">
        <v>24</v>
      </c>
      <c r="C26" s="6" t="n">
        <f aca="false">SUMIF(Sales_Data!B3:B602,A26,Sales_Data!H3:H602)</f>
        <v>13345139.17</v>
      </c>
      <c r="D26" s="7" t="n">
        <f aca="false">IF(C25&gt;0,(C26-C25)/C25,"")</f>
        <v>0.0442916074295919</v>
      </c>
      <c r="E26" s="6" t="n">
        <f aca="false">AVERAGE(C24:C26)</f>
        <v>12811733.1566667</v>
      </c>
      <c r="F26" s="6" t="n">
        <f aca="false">FORECAST(B26+1,C3:C26,B3:B26)</f>
        <v>12322192.2956522</v>
      </c>
    </row>
    <row r="27" customFormat="false" ht="15" hidden="false" customHeight="false" outlineLevel="0" collapsed="false">
      <c r="A27" s="8" t="s">
        <v>648</v>
      </c>
      <c r="B27" s="9"/>
      <c r="C27" s="10" t="n">
        <f aca="false">SUM(C3:C26)</f>
        <v>268061812.35</v>
      </c>
      <c r="D27" s="11" t="n">
        <f aca="false">AVERAGE(D4:D26)</f>
        <v>0.0221418047702664</v>
      </c>
      <c r="E27" s="10" t="n">
        <f aca="false">AVERAGE(E5:E26)</f>
        <v>11173310.4748485</v>
      </c>
      <c r="F27" s="1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18"/>
    <col collapsed="false" customWidth="true" hidden="false" outlineLevel="0" max="7" min="7" style="0" width="20"/>
  </cols>
  <sheetData>
    <row r="1" customFormat="false" ht="27.75" hidden="false" customHeight="true" outlineLevel="0" collapsed="false">
      <c r="A1" s="1" t="s">
        <v>649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13" t="s">
        <v>4</v>
      </c>
      <c r="B2" s="13" t="s">
        <v>12</v>
      </c>
      <c r="C2" s="13" t="s">
        <v>14</v>
      </c>
      <c r="D2" s="13" t="s">
        <v>16</v>
      </c>
      <c r="E2" s="13" t="s">
        <v>18</v>
      </c>
      <c r="F2" s="13" t="s">
        <v>20</v>
      </c>
      <c r="G2" s="13" t="s">
        <v>650</v>
      </c>
    </row>
    <row r="3" customFormat="false" ht="15" hidden="false" customHeight="false" outlineLevel="0" collapsed="false">
      <c r="A3" s="14" t="s">
        <v>11</v>
      </c>
      <c r="B3" s="6" t="n">
        <f aca="false">SUMIFS(Sales_Data!H3:H602,Sales_Data!D3:D602,A3,Sales_Data!E3:E602,B2)</f>
        <v>9179551.38</v>
      </c>
      <c r="C3" s="6" t="n">
        <f aca="false">SUMIFS(Sales_Data!H3:H602,Sales_Data!D3:D602,A3,Sales_Data!E3:E602,C2)</f>
        <v>8149875.3</v>
      </c>
      <c r="D3" s="6" t="n">
        <f aca="false">SUMIFS(Sales_Data!H3:H602,Sales_Data!D3:D602,A3,Sales_Data!E3:E602,D2)</f>
        <v>7538172.2</v>
      </c>
      <c r="E3" s="6" t="n">
        <f aca="false">SUMIFS(Sales_Data!H3:H602,Sales_Data!D3:D602,A3,Sales_Data!E3:E602,E2)</f>
        <v>6817985.12</v>
      </c>
      <c r="F3" s="6" t="n">
        <f aca="false">SUMIFS(Sales_Data!H3:H602,Sales_Data!D3:D602,A3,Sales_Data!E3:E602,F2)</f>
        <v>5712561.85</v>
      </c>
      <c r="G3" s="15" t="n">
        <f aca="false">SUM(B3:F3)</f>
        <v>37398145.85</v>
      </c>
    </row>
    <row r="4" customFormat="false" ht="15" hidden="false" customHeight="false" outlineLevel="0" collapsed="false">
      <c r="A4" s="14" t="s">
        <v>22</v>
      </c>
      <c r="B4" s="6" t="n">
        <f aca="false">SUMIFS(Sales_Data!H3:H602,Sales_Data!D3:D602,A4,Sales_Data!E3:E602,B2)</f>
        <v>15757671.9</v>
      </c>
      <c r="C4" s="6" t="n">
        <f aca="false">SUMIFS(Sales_Data!H3:H602,Sales_Data!D3:D602,A4,Sales_Data!E3:E602,C2)</f>
        <v>13484868.15</v>
      </c>
      <c r="D4" s="6" t="n">
        <f aca="false">SUMIFS(Sales_Data!H3:H602,Sales_Data!D3:D602,A4,Sales_Data!E3:E602,D2)</f>
        <v>12315705.96</v>
      </c>
      <c r="E4" s="6" t="n">
        <f aca="false">SUMIFS(Sales_Data!H3:H602,Sales_Data!D3:D602,A4,Sales_Data!E3:E602,E2)</f>
        <v>11737668.12</v>
      </c>
      <c r="F4" s="6" t="n">
        <f aca="false">SUMIFS(Sales_Data!H3:H602,Sales_Data!D3:D602,A4,Sales_Data!E3:E602,F2)</f>
        <v>9108186.53</v>
      </c>
      <c r="G4" s="15" t="n">
        <f aca="false">SUM(B4:F4)</f>
        <v>62404100.66</v>
      </c>
    </row>
    <row r="5" customFormat="false" ht="15" hidden="false" customHeight="false" outlineLevel="0" collapsed="false">
      <c r="A5" s="14" t="s">
        <v>28</v>
      </c>
      <c r="B5" s="6" t="n">
        <f aca="false">SUMIFS(Sales_Data!H3:H602,Sales_Data!D3:D602,A5,Sales_Data!E3:E602,B2)</f>
        <v>6959886.76</v>
      </c>
      <c r="C5" s="6" t="n">
        <f aca="false">SUMIFS(Sales_Data!H3:H602,Sales_Data!D3:D602,A5,Sales_Data!E3:E602,C2)</f>
        <v>5841154.71</v>
      </c>
      <c r="D5" s="6" t="n">
        <f aca="false">SUMIFS(Sales_Data!H3:H602,Sales_Data!D3:D602,A5,Sales_Data!E3:E602,D2)</f>
        <v>5179434.7</v>
      </c>
      <c r="E5" s="6" t="n">
        <f aca="false">SUMIFS(Sales_Data!H3:H602,Sales_Data!D3:D602,A5,Sales_Data!E3:E602,E2)</f>
        <v>4824343.31</v>
      </c>
      <c r="F5" s="6" t="n">
        <f aca="false">SUMIFS(Sales_Data!H3:H602,Sales_Data!D3:D602,A5,Sales_Data!E3:E602,F2)</f>
        <v>3985499.86</v>
      </c>
      <c r="G5" s="15" t="n">
        <f aca="false">SUM(B5:F5)</f>
        <v>26790319.34</v>
      </c>
    </row>
    <row r="6" customFormat="false" ht="15" hidden="false" customHeight="false" outlineLevel="0" collapsed="false">
      <c r="A6" s="14" t="s">
        <v>34</v>
      </c>
      <c r="B6" s="6" t="n">
        <f aca="false">SUMIFS(Sales_Data!H3:H602,Sales_Data!D3:D602,A6,Sales_Data!E3:E602,B2)</f>
        <v>23017921.16</v>
      </c>
      <c r="C6" s="6" t="n">
        <f aca="false">SUMIFS(Sales_Data!H3:H602,Sales_Data!D3:D602,A6,Sales_Data!E3:E602,C2)</f>
        <v>21232062.22</v>
      </c>
      <c r="D6" s="6" t="n">
        <f aca="false">SUMIFS(Sales_Data!H3:H602,Sales_Data!D3:D602,A6,Sales_Data!E3:E602,D2)</f>
        <v>18723221.68</v>
      </c>
      <c r="E6" s="6" t="n">
        <f aca="false">SUMIFS(Sales_Data!H3:H602,Sales_Data!D3:D602,A6,Sales_Data!E3:E602,E2)</f>
        <v>17773550.62</v>
      </c>
      <c r="F6" s="6" t="n">
        <f aca="false">SUMIFS(Sales_Data!H3:H602,Sales_Data!D3:D602,A6,Sales_Data!E3:E602,F2)</f>
        <v>14126094.39</v>
      </c>
      <c r="G6" s="15" t="n">
        <f aca="false">SUM(B6:F6)</f>
        <v>94872850.07</v>
      </c>
    </row>
    <row r="7" customFormat="false" ht="15" hidden="false" customHeight="false" outlineLevel="0" collapsed="false">
      <c r="A7" s="14" t="s">
        <v>40</v>
      </c>
      <c r="B7" s="6" t="n">
        <f aca="false">SUMIFS(Sales_Data!H3:H602,Sales_Data!D3:D602,A7,Sales_Data!E3:E602,B2)</f>
        <v>11728081.72</v>
      </c>
      <c r="C7" s="6" t="n">
        <f aca="false">SUMIFS(Sales_Data!H3:H602,Sales_Data!D3:D602,A7,Sales_Data!E3:E602,C2)</f>
        <v>10217666.4</v>
      </c>
      <c r="D7" s="6" t="n">
        <f aca="false">SUMIFS(Sales_Data!H3:H602,Sales_Data!D3:D602,A7,Sales_Data!E3:E602,D2)</f>
        <v>9096483.21</v>
      </c>
      <c r="E7" s="6" t="n">
        <f aca="false">SUMIFS(Sales_Data!H3:H602,Sales_Data!D3:D602,A7,Sales_Data!E3:E602,E2)</f>
        <v>8533199.26</v>
      </c>
      <c r="F7" s="6" t="n">
        <f aca="false">SUMIFS(Sales_Data!H3:H602,Sales_Data!D3:D602,A7,Sales_Data!E3:E602,F2)</f>
        <v>7020965.84</v>
      </c>
      <c r="G7" s="15" t="n">
        <f aca="false">SUM(B7:F7)</f>
        <v>46596396.43</v>
      </c>
    </row>
    <row r="8" customFormat="false" ht="15" hidden="false" customHeight="false" outlineLevel="0" collapsed="false">
      <c r="A8" s="8" t="s">
        <v>651</v>
      </c>
      <c r="B8" s="16" t="n">
        <f aca="false">SUM(B3:B7)</f>
        <v>66643112.92</v>
      </c>
      <c r="C8" s="16" t="n">
        <f aca="false">SUM(C3:C7)</f>
        <v>58925626.78</v>
      </c>
      <c r="D8" s="16" t="n">
        <f aca="false">SUM(D3:D7)</f>
        <v>52853017.75</v>
      </c>
      <c r="E8" s="16" t="n">
        <f aca="false">SUM(E3:E7)</f>
        <v>49686746.43</v>
      </c>
      <c r="F8" s="16" t="n">
        <f aca="false">SUM(F3:F7)</f>
        <v>39953308.47</v>
      </c>
      <c r="G8" s="16" t="n">
        <f aca="false">SUM(G3:G7)</f>
        <v>268061812.35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24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27.75" hidden="false" customHeight="true" outlineLevel="0" collapsed="false">
      <c r="A1" s="1" t="s">
        <v>652</v>
      </c>
      <c r="B1" s="1"/>
      <c r="C1" s="1"/>
      <c r="D1" s="1"/>
      <c r="E1" s="1"/>
    </row>
    <row r="2" customFormat="false" ht="15" hidden="false" customHeight="false" outlineLevel="0" collapsed="false">
      <c r="A2" s="2" t="s">
        <v>4</v>
      </c>
      <c r="B2" s="2" t="s">
        <v>653</v>
      </c>
      <c r="C2" s="2" t="s">
        <v>654</v>
      </c>
      <c r="D2" s="2" t="s">
        <v>655</v>
      </c>
      <c r="E2" s="2" t="s">
        <v>656</v>
      </c>
    </row>
    <row r="3" customFormat="false" ht="15" hidden="false" customHeight="false" outlineLevel="0" collapsed="false">
      <c r="A3" s="14" t="s">
        <v>11</v>
      </c>
      <c r="B3" s="6" t="n">
        <f aca="false">SUMPRODUCT((Sales_Data!D3:D602=A3)*(Sales_Data!C3:C602&lt;=12)*Sales_Data!H3:H602)</f>
        <v>18620522.19</v>
      </c>
      <c r="C3" s="6" t="n">
        <f aca="false">SUMPRODUCT((Sales_Data!D3:D602=A3)*(Sales_Data!C3:C602&gt;12)*Sales_Data!H3:H602)</f>
        <v>18777623.66</v>
      </c>
      <c r="D3" s="6" t="n">
        <f aca="false">C3-B3</f>
        <v>157101.469999999</v>
      </c>
      <c r="E3" s="7" t="n">
        <f aca="false">IF(B3&gt;0,(C3-B3)/B3,"")</f>
        <v>0.00843700667451576</v>
      </c>
    </row>
    <row r="4" customFormat="false" ht="15" hidden="false" customHeight="false" outlineLevel="0" collapsed="false">
      <c r="A4" s="14" t="s">
        <v>22</v>
      </c>
      <c r="B4" s="6" t="n">
        <f aca="false">SUMPRODUCT((Sales_Data!D3:D602=A4)*(Sales_Data!C3:C602&lt;=12)*Sales_Data!H3:H602)</f>
        <v>31273519.78</v>
      </c>
      <c r="C4" s="6" t="n">
        <f aca="false">SUMPRODUCT((Sales_Data!D3:D602=A4)*(Sales_Data!C3:C602&gt;12)*Sales_Data!H3:H602)</f>
        <v>31130580.88</v>
      </c>
      <c r="D4" s="6" t="n">
        <f aca="false">C4-B4</f>
        <v>-142938.900000002</v>
      </c>
      <c r="E4" s="7" t="n">
        <f aca="false">IF(B4&gt;0,(C4-B4)/B4,"")</f>
        <v>-0.0045706048121713</v>
      </c>
    </row>
    <row r="5" customFormat="false" ht="15" hidden="false" customHeight="false" outlineLevel="0" collapsed="false">
      <c r="A5" s="14" t="s">
        <v>28</v>
      </c>
      <c r="B5" s="6" t="n">
        <f aca="false">SUMPRODUCT((Sales_Data!D3:D602=A5)*(Sales_Data!C3:C602&lt;=12)*Sales_Data!H3:H602)</f>
        <v>13502216.49</v>
      </c>
      <c r="C5" s="6" t="n">
        <f aca="false">SUMPRODUCT((Sales_Data!D3:D602=A5)*(Sales_Data!C3:C602&gt;12)*Sales_Data!H3:H602)</f>
        <v>13288102.85</v>
      </c>
      <c r="D5" s="6" t="n">
        <f aca="false">C5-B5</f>
        <v>-214113.640000001</v>
      </c>
      <c r="E5" s="7" t="n">
        <f aca="false">IF(B5&gt;0,(C5-B5)/B5,"")</f>
        <v>-0.0158576660475395</v>
      </c>
    </row>
    <row r="6" customFormat="false" ht="15" hidden="false" customHeight="false" outlineLevel="0" collapsed="false">
      <c r="A6" s="14" t="s">
        <v>34</v>
      </c>
      <c r="B6" s="6" t="n">
        <f aca="false">SUMPRODUCT((Sales_Data!D3:D602=A6)*(Sales_Data!C3:C602&lt;=12)*Sales_Data!H3:H602)</f>
        <v>47395918.66</v>
      </c>
      <c r="C6" s="6" t="n">
        <f aca="false">SUMPRODUCT((Sales_Data!D3:D602=A6)*(Sales_Data!C3:C602&gt;12)*Sales_Data!H3:H602)</f>
        <v>47476931.41</v>
      </c>
      <c r="D6" s="6" t="n">
        <f aca="false">C6-B6</f>
        <v>81012.75</v>
      </c>
      <c r="E6" s="7" t="n">
        <f aca="false">IF(B6&gt;0,(C6-B6)/B6,"")</f>
        <v>0.00170927692279063</v>
      </c>
    </row>
    <row r="7" customFormat="false" ht="15" hidden="false" customHeight="false" outlineLevel="0" collapsed="false">
      <c r="A7" s="14" t="s">
        <v>40</v>
      </c>
      <c r="B7" s="6" t="n">
        <f aca="false">SUMPRODUCT((Sales_Data!D3:D602=A7)*(Sales_Data!C3:C602&lt;=12)*Sales_Data!H3:H602)</f>
        <v>23228539.27</v>
      </c>
      <c r="C7" s="6" t="n">
        <f aca="false">SUMPRODUCT((Sales_Data!D3:D602=A7)*(Sales_Data!C3:C602&gt;12)*Sales_Data!H3:H602)</f>
        <v>23367857.16</v>
      </c>
      <c r="D7" s="6" t="n">
        <f aca="false">C7-B7</f>
        <v>139317.890000001</v>
      </c>
      <c r="E7" s="7" t="n">
        <f aca="false">IF(B7&gt;0,(C7-B7)/B7,"")</f>
        <v>0.00599770344491406</v>
      </c>
    </row>
    <row r="8" customFormat="false" ht="15" hidden="false" customHeight="false" outlineLevel="0" collapsed="false">
      <c r="A8" s="8" t="s">
        <v>657</v>
      </c>
      <c r="B8" s="16" t="n">
        <f aca="false">SUM(B3:B7)</f>
        <v>134020716.39</v>
      </c>
      <c r="C8" s="16" t="n">
        <f aca="false">SUM(C3:C7)</f>
        <v>134041095.96</v>
      </c>
      <c r="D8" s="16" t="n">
        <f aca="false">SUM(D3:D7)</f>
        <v>20379.5699999966</v>
      </c>
      <c r="E8" s="17" t="n">
        <f aca="false">IF(B8&gt;0,(C8-B8)/B8,"")</f>
        <v>0.000152062834380681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2026-06-08T16:33:32Z</dcterms:created>
  <dc:creator>openpyxl</dc:creator>
  <dc:description/>
  <dc:language>en-US</dc:language>
  <cp:lastModifiedBy/>
  <dcterms:modified xsi:type="dcterms:W3CDTF">2026-06-08T16:33:32Z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